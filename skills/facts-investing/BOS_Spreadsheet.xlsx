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CT" sheetId="1" r:id="rId4"/>
    <sheet state="visible" name="F - Find" sheetId="2" r:id="rId5"/>
    <sheet state="visible" name="AC - Assess, Calculate" sheetId="3" r:id="rId6"/>
    <sheet state="visible" name="Jitta Entry Price Calculator" sheetId="4" r:id="rId7"/>
    <sheet state="visible" name="Drop" sheetId="5" r:id="rId8"/>
  </sheets>
  <definedNames/>
  <calcPr/>
</workbook>
</file>

<file path=xl/sharedStrings.xml><?xml version="1.0" encoding="utf-8"?>
<sst xmlns="http://schemas.openxmlformats.org/spreadsheetml/2006/main" count="388" uniqueCount="202">
  <si>
    <t>F.A.C.T.S System</t>
  </si>
  <si>
    <t>Step 1</t>
  </si>
  <si>
    <t>Find</t>
  </si>
  <si>
    <t>Step 2</t>
  </si>
  <si>
    <t>Assess</t>
  </si>
  <si>
    <t>Step 3</t>
  </si>
  <si>
    <t>Calculate</t>
  </si>
  <si>
    <t>Step 4</t>
  </si>
  <si>
    <t>Track</t>
  </si>
  <si>
    <t>Step 5</t>
  </si>
  <si>
    <t>Savings</t>
  </si>
  <si>
    <t>Step 1: Find</t>
  </si>
  <si>
    <t>Find Stocks Using 5 Methods</t>
  </si>
  <si>
    <t>1. 街邊 Main Street</t>
  </si>
  <si>
    <t>2. 新聞 News</t>
  </si>
  <si>
    <t>3. 朋友 Friends</t>
  </si>
  <si>
    <t>4. 大師 Track Guru</t>
  </si>
  <si>
    <t>5. 篩選 Screener</t>
  </si>
  <si>
    <t>ASK E FRIEND</t>
  </si>
  <si>
    <t>Step 2: Assess</t>
  </si>
  <si>
    <t>10 Point Check List</t>
  </si>
  <si>
    <t xml:space="preserve">Explanation </t>
  </si>
  <si>
    <t>Remarks</t>
  </si>
  <si>
    <t>E</t>
  </si>
  <si>
    <t>Earnings Per Share Consistent for 10 Years</t>
  </si>
  <si>
    <t>Earnings Per Share = Net Income/ No of Shares</t>
  </si>
  <si>
    <t>EPS is important because it shows how much we earn</t>
  </si>
  <si>
    <t>F</t>
  </si>
  <si>
    <t>Free Cash Flow Positive for 10 Years</t>
  </si>
  <si>
    <t>Free Cash Flow  = Operating Cashflow - Capital Spending</t>
  </si>
  <si>
    <t>We want to buy company with Free Cash Flow</t>
  </si>
  <si>
    <t>R</t>
  </si>
  <si>
    <t>Return on Equity &gt; 15% consistently for 10 Years</t>
  </si>
  <si>
    <t>Return on Equity = Net Income / Equity</t>
  </si>
  <si>
    <t>We want company to make at least 15% using our money</t>
  </si>
  <si>
    <t>I</t>
  </si>
  <si>
    <t xml:space="preserve">Interest Coverage &gt; 4 Times (Current Year) </t>
  </si>
  <si>
    <t>Interest Coverage = Earnings Before Interest and Tax / Interest Exp</t>
  </si>
  <si>
    <t>This tells us how many times company can pay for their interest.</t>
  </si>
  <si>
    <t>Economic Moat</t>
  </si>
  <si>
    <t>Intangible Assets</t>
  </si>
  <si>
    <t>Low Cost Advantage</t>
  </si>
  <si>
    <t>High Switching Cost</t>
  </si>
  <si>
    <t>Network Effect</t>
  </si>
  <si>
    <t>We must believe that company can profit for next 10 years</t>
  </si>
  <si>
    <t>N</t>
  </si>
  <si>
    <t>Net Margin &gt; 10% recent years and increasing</t>
  </si>
  <si>
    <t xml:space="preserve">Net Margin = Net Income / Revenue </t>
  </si>
  <si>
    <t>If Net Margin is too small, it is very risky</t>
  </si>
  <si>
    <t>D</t>
  </si>
  <si>
    <t xml:space="preserve">Dividends paying company </t>
  </si>
  <si>
    <t>Dividends are money that is distributed to investors</t>
  </si>
  <si>
    <t>Companies that pay dividends have real money for investors</t>
  </si>
  <si>
    <t>A</t>
  </si>
  <si>
    <t>Authority Risk</t>
  </si>
  <si>
    <t>Is it in an industry where there may be goverment policy risk?</t>
  </si>
  <si>
    <t>It is risky if company is being controlled by government policies</t>
  </si>
  <si>
    <t>S</t>
  </si>
  <si>
    <t>Science and Tech Risk</t>
  </si>
  <si>
    <t>Will Technology potentially change the industry?</t>
  </si>
  <si>
    <t>Some companies can be wiped out because of technology</t>
  </si>
  <si>
    <t>K</t>
  </si>
  <si>
    <t>Key People Risk</t>
  </si>
  <si>
    <t xml:space="preserve">Can company replace labour force easily? </t>
  </si>
  <si>
    <t>If company depends on key people, it is very risky.</t>
  </si>
  <si>
    <t>Does it depend on any key individuals</t>
  </si>
  <si>
    <t>Step 3: Calculate</t>
  </si>
  <si>
    <t>Growth</t>
  </si>
  <si>
    <t>Growth Company must meet 2 criteria</t>
  </si>
  <si>
    <t>Payout Ratio &lt; 30%</t>
  </si>
  <si>
    <t>ROE &gt; 15%</t>
  </si>
  <si>
    <t>Buy when PEG &lt; 1</t>
  </si>
  <si>
    <t>Dividend</t>
  </si>
  <si>
    <t>Dividend Company must meet 2 criteria</t>
  </si>
  <si>
    <t>Consistent Dividends</t>
  </si>
  <si>
    <t>Payout Ratio &lt; 90%</t>
  </si>
  <si>
    <t>Buy when Dividend Yield &gt; 5%</t>
  </si>
  <si>
    <t>(If your bank rate is higher than 5%, then dividend yield should be at least 2% more than bank rates)</t>
  </si>
  <si>
    <t xml:space="preserve">Asset </t>
  </si>
  <si>
    <t>Asset Companies are companies with valuable tangible assets, for e.g:</t>
  </si>
  <si>
    <t>Banks</t>
  </si>
  <si>
    <t>Gold</t>
  </si>
  <si>
    <t>Buy when P/B &lt; 1</t>
  </si>
  <si>
    <t>Properties</t>
  </si>
  <si>
    <t>Oil Rigs</t>
  </si>
  <si>
    <t>Step 4: Track</t>
  </si>
  <si>
    <t>Sell when PEG &gt; 1.2</t>
  </si>
  <si>
    <t>Sell when stock price increase by 50%</t>
  </si>
  <si>
    <t>Sell when Price hits Book Value Per Share</t>
  </si>
  <si>
    <t>Step 5: Savings</t>
  </si>
  <si>
    <t>Based on S&amp;P PE Ratio, we set aside cash</t>
  </si>
  <si>
    <t>PE</t>
  </si>
  <si>
    <t>Cash %</t>
  </si>
  <si>
    <t>Step 1: Find Potential Stocks</t>
  </si>
  <si>
    <t>Screeners</t>
  </si>
  <si>
    <t>US Stocks</t>
  </si>
  <si>
    <t>Finviz Stocks</t>
  </si>
  <si>
    <t>https://finviz.com/screener.ashx?v=111&amp;f=fa_debteq_u0.5,fa_pe_low,fa_roe_o10&amp;ft=2</t>
  </si>
  <si>
    <t>Gurufocus Warren Buffett Stocks</t>
  </si>
  <si>
    <t>Warren Buffett Portfolio, Holdings, 13F (2023-10-06)</t>
  </si>
  <si>
    <t>Gurufocus Guru Bargains</t>
  </si>
  <si>
    <t>https://www.gurufocus.com/guru/bargains</t>
  </si>
  <si>
    <t>Singapore</t>
  </si>
  <si>
    <t xml:space="preserve">SGX Stock Screener </t>
  </si>
  <si>
    <t>https://www2.sgx.com/securities/stock-screener</t>
  </si>
  <si>
    <t>Malaysia</t>
  </si>
  <si>
    <t xml:space="preserve">Bursa Market Place </t>
  </si>
  <si>
    <t>http://www.bursamarketplace.com/mkt/tools/screener</t>
  </si>
  <si>
    <t>http://www.bursamarketplace.com/mkt/tools/alphaindicator</t>
  </si>
  <si>
    <t>Global</t>
  </si>
  <si>
    <t>Jitta</t>
  </si>
  <si>
    <t>https://www.jitta.com/home</t>
  </si>
  <si>
    <t>Dividend Stocks Globally</t>
  </si>
  <si>
    <t>https://www.dividendyields.org/</t>
  </si>
  <si>
    <t>Stock</t>
  </si>
  <si>
    <t>Score</t>
  </si>
  <si>
    <t>Type</t>
  </si>
  <si>
    <t>Current Price</t>
  </si>
  <si>
    <t>Entry</t>
  </si>
  <si>
    <t>Review</t>
  </si>
  <si>
    <t>EPS</t>
  </si>
  <si>
    <t>FCF</t>
  </si>
  <si>
    <t>ROE</t>
  </si>
  <si>
    <t>Int Cov</t>
  </si>
  <si>
    <t>E.Moat</t>
  </si>
  <si>
    <t>Net Margin</t>
  </si>
  <si>
    <t>Dividends</t>
  </si>
  <si>
    <t>Authority</t>
  </si>
  <si>
    <t>Science</t>
  </si>
  <si>
    <t>Key People</t>
  </si>
  <si>
    <t>Valuation (Growth)</t>
  </si>
  <si>
    <t>Valuation (Dividends)</t>
  </si>
  <si>
    <t>Valuation (Assets)</t>
  </si>
  <si>
    <t>Growth Price</t>
  </si>
  <si>
    <t>Div</t>
  </si>
  <si>
    <t>Assets</t>
  </si>
  <si>
    <t>e</t>
  </si>
  <si>
    <t>f</t>
  </si>
  <si>
    <t>r</t>
  </si>
  <si>
    <t>i&gt;10</t>
  </si>
  <si>
    <t>i&gt;4</t>
  </si>
  <si>
    <t>e4</t>
  </si>
  <si>
    <t>e3</t>
  </si>
  <si>
    <t>e2</t>
  </si>
  <si>
    <t>e1</t>
  </si>
  <si>
    <t>N20</t>
  </si>
  <si>
    <t>N10</t>
  </si>
  <si>
    <t xml:space="preserve">E </t>
  </si>
  <si>
    <t xml:space="preserve">F </t>
  </si>
  <si>
    <t xml:space="preserve">R </t>
  </si>
  <si>
    <t xml:space="preserve">I </t>
  </si>
  <si>
    <t xml:space="preserve">N </t>
  </si>
  <si>
    <t xml:space="preserve">D </t>
  </si>
  <si>
    <t xml:space="preserve">A </t>
  </si>
  <si>
    <t xml:space="preserve">S </t>
  </si>
  <si>
    <t xml:space="preserve">K </t>
  </si>
  <si>
    <t>Growth %</t>
  </si>
  <si>
    <t>Expected Dividend</t>
  </si>
  <si>
    <t>Div Yield</t>
  </si>
  <si>
    <t>BVPS</t>
  </si>
  <si>
    <t>Target PB</t>
  </si>
  <si>
    <t>Exit</t>
  </si>
  <si>
    <t>BAC</t>
  </si>
  <si>
    <t>Yes</t>
  </si>
  <si>
    <t xml:space="preserve">Yes </t>
  </si>
  <si>
    <t>&gt;  10</t>
  </si>
  <si>
    <t>2 Moats</t>
  </si>
  <si>
    <t>&gt;10%</t>
  </si>
  <si>
    <t>Risk</t>
  </si>
  <si>
    <t>No Risk</t>
  </si>
  <si>
    <t>AVGO</t>
  </si>
  <si>
    <t>&gt;20%</t>
  </si>
  <si>
    <t>AMZN</t>
  </si>
  <si>
    <t>No</t>
  </si>
  <si>
    <t>&gt; 4</t>
  </si>
  <si>
    <t>PEP</t>
  </si>
  <si>
    <t>Weak Moat</t>
  </si>
  <si>
    <t>PARA</t>
  </si>
  <si>
    <t>3 or More Moats</t>
  </si>
  <si>
    <t>NECB</t>
  </si>
  <si>
    <t>1 Moat</t>
  </si>
  <si>
    <t>FB</t>
  </si>
  <si>
    <t>NFLX</t>
  </si>
  <si>
    <t>BABA</t>
  </si>
  <si>
    <t>DIS</t>
  </si>
  <si>
    <t>MSFT</t>
  </si>
  <si>
    <t>AAPL</t>
  </si>
  <si>
    <t>QCOM</t>
  </si>
  <si>
    <t>NVDA</t>
  </si>
  <si>
    <t xml:space="preserve">Risk </t>
  </si>
  <si>
    <t>GOOG</t>
  </si>
  <si>
    <t>ADBE</t>
  </si>
  <si>
    <t>KO</t>
  </si>
  <si>
    <t>Jitta Entry Price</t>
  </si>
  <si>
    <t>Price</t>
  </si>
  <si>
    <t>Below Jitta Line</t>
  </si>
  <si>
    <t>Valuation</t>
  </si>
  <si>
    <t xml:space="preserve">K  </t>
  </si>
  <si>
    <t>EPS Consistent</t>
  </si>
  <si>
    <t>Free Cash Flow</t>
  </si>
  <si>
    <t>Interest Coverage</t>
  </si>
  <si>
    <t>Asset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</si>
</sst>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u/>
      <sz val="24.0"/>
    </font>
    <font/>
    <font>
      <name val="Arial"/>
    </font>
    <font>
      <b/>
    </font>
    <font>
      <sz val="10.0"/>
    </font>
    <font>
      <color rgb="FFFFFFFF"/>
    </font>
    <font>
      <b/>
      <u/>
    </font>
    <font>
      <b/>
      <sz val="24.0"/>
    </font>
    <font>
      <u/>
      <color rgb="FF0000FF"/>
    </font>
    <font>
      <u/>
      <color rgb="FF0000FF"/>
    </font>
    <font>
      <sz val="11.0"/>
      <color rgb="FF000000"/>
      <name val="Inconsolata"/>
    </font>
    <font>
      <sz val="8.0"/>
      <color rgb="FF000000"/>
      <name val="Verdana"/>
    </font>
    <font>
      <sz val="24.0"/>
    </font>
  </fonts>
  <fills count="10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0000FF"/>
        <bgColor rgb="FF0000FF"/>
      </patternFill>
    </fill>
    <fill>
      <patternFill patternType="solid">
        <fgColor rgb="FFA4C2F4"/>
        <bgColor rgb="FFA4C2F4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rgb="FFFDFDFD"/>
        <bgColor rgb="FFFDFDFD"/>
      </patternFill>
    </fill>
  </fills>
  <borders count="3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FF"/>
      </right>
      <top style="thick">
        <color rgb="FF000000"/>
      </top>
      <bottom style="thick">
        <color rgb="FF000000"/>
      </bottom>
    </border>
    <border>
      <left style="thick">
        <color rgb="FF00FF00"/>
      </left>
      <top style="thick">
        <color rgb="FF000000"/>
      </top>
      <bottom style="thick">
        <color rgb="FF000000"/>
      </bottom>
    </border>
    <border>
      <right style="thick">
        <color rgb="FF00FF00"/>
      </right>
      <top style="thick">
        <color rgb="FF000000"/>
      </top>
      <bottom style="thick">
        <color rgb="FF000000"/>
      </bottom>
    </border>
    <border>
      <left style="thick">
        <color rgb="FFBF9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ck">
        <color rgb="FF00FF00"/>
      </left>
      <right style="thin">
        <color rgb="FF000000"/>
      </right>
      <bottom style="thin">
        <color rgb="FF000000"/>
      </bottom>
    </border>
    <border>
      <left style="thick">
        <color rgb="FFBF9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FF0000"/>
      </right>
      <top style="thin">
        <color rgb="FFFF0000"/>
      </top>
      <bottom style="thin">
        <color rgb="FFFF0000"/>
      </bottom>
    </border>
    <border>
      <top style="thin">
        <color rgb="FF000000"/>
      </top>
      <bottom style="thin">
        <color rgb="FF000000"/>
      </bottom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</border>
    <border>
      <left style="thin">
        <color rgb="FFFF0000"/>
      </left>
      <right style="thick">
        <color rgb="FF000000"/>
      </right>
      <top style="thin">
        <color rgb="FFFF0000"/>
      </top>
      <bottom style="thin">
        <color rgb="FFFF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FF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BF9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FF0000"/>
      </right>
      <top style="thin">
        <color rgb="FFFF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left style="thin">
        <color rgb="FFFF0000"/>
      </left>
      <right style="thin">
        <color rgb="FFFF0000"/>
      </right>
      <top style="thin">
        <color rgb="FFFF0000"/>
      </top>
      <bottom style="thick">
        <color rgb="FF000000"/>
      </bottom>
    </border>
    <border>
      <left style="thin">
        <color rgb="FFFF0000"/>
      </left>
      <right style="thick">
        <color rgb="FF000000"/>
      </right>
      <top style="thin">
        <color rgb="FFFF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thick">
        <color rgb="FF00FF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ck">
        <color rgb="FFBF9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0" numFmtId="0" xfId="0" applyAlignment="1" applyFont="1">
      <alignment horizontal="left" readingOrder="0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0" numFmtId="0" xfId="0" applyAlignment="1" applyFont="1">
      <alignment horizontal="left"/>
    </xf>
    <xf borderId="0" fillId="2" fontId="2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4" fontId="6" numFmtId="0" xfId="0" applyAlignment="1" applyFill="1" applyFont="1">
      <alignment readingOrder="0"/>
    </xf>
    <xf borderId="0" fillId="5" fontId="6" numFmtId="0" xfId="0" applyAlignment="1" applyFill="1" applyFont="1">
      <alignment readingOrder="0"/>
    </xf>
    <xf borderId="0" fillId="0" fontId="7" numFmtId="0" xfId="0" applyAlignment="1" applyFont="1">
      <alignment readingOrder="0"/>
    </xf>
    <xf borderId="0" fillId="0" fontId="2" numFmtId="9" xfId="0" applyAlignment="1" applyFont="1" applyNumberFormat="1">
      <alignment readingOrder="0"/>
    </xf>
    <xf borderId="1" fillId="0" fontId="4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9" xfId="0" applyAlignment="1" applyBorder="1" applyFont="1" applyNumberFormat="1">
      <alignment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2" fillId="0" fontId="4" numFmtId="0" xfId="0" applyAlignment="1" applyBorder="1" applyFont="1">
      <alignment horizontal="center" readingOrder="0"/>
    </xf>
    <xf borderId="3" fillId="0" fontId="4" numFmtId="0" xfId="0" applyAlignment="1" applyBorder="1" applyFont="1">
      <alignment readingOrder="0"/>
    </xf>
    <xf borderId="4" fillId="0" fontId="4" numFmtId="0" xfId="0" applyAlignment="1" applyBorder="1" applyFont="1">
      <alignment readingOrder="0"/>
    </xf>
    <xf borderId="4" fillId="6" fontId="4" numFmtId="0" xfId="0" applyAlignment="1" applyBorder="1" applyFill="1" applyFont="1">
      <alignment horizontal="center" readingOrder="0"/>
    </xf>
    <xf borderId="5" fillId="0" fontId="2" numFmtId="0" xfId="0" applyBorder="1" applyFont="1"/>
    <xf borderId="6" fillId="3" fontId="4" numFmtId="0" xfId="0" applyAlignment="1" applyBorder="1" applyFont="1">
      <alignment horizontal="center" readingOrder="0"/>
    </xf>
    <xf borderId="7" fillId="0" fontId="2" numFmtId="0" xfId="0" applyBorder="1" applyFont="1"/>
    <xf borderId="8" fillId="7" fontId="4" numFmtId="0" xfId="0" applyAlignment="1" applyBorder="1" applyFill="1" applyFont="1">
      <alignment horizontal="center" readingOrder="0"/>
    </xf>
    <xf borderId="9" fillId="0" fontId="2" numFmtId="0" xfId="0" applyBorder="1" applyFont="1"/>
    <xf borderId="10" fillId="0" fontId="2" numFmtId="0" xfId="0" applyBorder="1" applyFont="1"/>
    <xf borderId="3" fillId="2" fontId="4" numFmtId="0" xfId="0" applyAlignment="1" applyBorder="1" applyFont="1">
      <alignment readingOrder="0"/>
    </xf>
    <xf borderId="3" fillId="4" fontId="4" numFmtId="0" xfId="0" applyAlignment="1" applyBorder="1" applyFont="1">
      <alignment readingOrder="0"/>
    </xf>
    <xf borderId="4" fillId="4" fontId="4" numFmtId="0" xfId="0" applyAlignment="1" applyBorder="1" applyFont="1">
      <alignment readingOrder="0"/>
    </xf>
    <xf borderId="11" fillId="6" fontId="4" numFmtId="0" xfId="0" applyAlignment="1" applyBorder="1" applyFont="1">
      <alignment readingOrder="0"/>
    </xf>
    <xf borderId="12" fillId="6" fontId="4" numFmtId="0" xfId="0" applyAlignment="1" applyBorder="1" applyFont="1">
      <alignment readingOrder="0"/>
    </xf>
    <xf borderId="13" fillId="3" fontId="4" numFmtId="0" xfId="0" applyAlignment="1" applyBorder="1" applyFont="1">
      <alignment readingOrder="0"/>
    </xf>
    <xf borderId="12" fillId="3" fontId="4" numFmtId="0" xfId="0" applyAlignment="1" applyBorder="1" applyFont="1">
      <alignment readingOrder="0"/>
    </xf>
    <xf borderId="14" fillId="7" fontId="4" numFmtId="0" xfId="0" applyAlignment="1" applyBorder="1" applyFont="1">
      <alignment readingOrder="0"/>
    </xf>
    <xf borderId="15" fillId="7" fontId="4" numFmtId="0" xfId="0" applyAlignment="1" applyBorder="1" applyFont="1">
      <alignment readingOrder="0"/>
    </xf>
    <xf borderId="16" fillId="0" fontId="4" numFmtId="0" xfId="0" applyAlignment="1" applyBorder="1" applyFont="1">
      <alignment horizontal="center" readingOrder="0"/>
    </xf>
    <xf borderId="17" fillId="0" fontId="2" numFmtId="0" xfId="0" applyAlignment="1" applyBorder="1" applyFont="1">
      <alignment horizontal="center"/>
    </xf>
    <xf borderId="18" fillId="0" fontId="2" numFmtId="0" xfId="0" applyAlignment="1" applyBorder="1" applyFont="1">
      <alignment horizontal="center" readingOrder="0"/>
    </xf>
    <xf borderId="18" fillId="8" fontId="11" numFmtId="2" xfId="0" applyAlignment="1" applyBorder="1" applyFill="1" applyFont="1" applyNumberFormat="1">
      <alignment horizontal="center"/>
    </xf>
    <xf borderId="19" fillId="8" fontId="11" numFmtId="2" xfId="0" applyAlignment="1" applyBorder="1" applyFont="1" applyNumberFormat="1">
      <alignment horizontal="center"/>
    </xf>
    <xf borderId="11" fillId="0" fontId="2" numFmtId="0" xfId="0" applyAlignment="1" applyBorder="1" applyFont="1">
      <alignment readingOrder="0"/>
    </xf>
    <xf borderId="20" fillId="0" fontId="2" numFmtId="0" xfId="0" applyAlignment="1" applyBorder="1" applyFont="1">
      <alignment readingOrder="0"/>
    </xf>
    <xf borderId="12" fillId="0" fontId="2" numFmtId="0" xfId="0" applyAlignment="1" applyBorder="1" applyFont="1">
      <alignment readingOrder="0"/>
    </xf>
    <xf borderId="21" fillId="0" fontId="3" numFmtId="0" xfId="0" applyAlignment="1" applyBorder="1" applyFont="1">
      <alignment horizontal="right" readingOrder="0" vertical="bottom"/>
    </xf>
    <xf borderId="22" fillId="0" fontId="2" numFmtId="0" xfId="0" applyAlignment="1" applyBorder="1" applyFont="1">
      <alignment readingOrder="0"/>
    </xf>
    <xf borderId="23" fillId="0" fontId="2" numFmtId="0" xfId="0" applyAlignment="1" applyBorder="1" applyFont="1">
      <alignment readingOrder="0"/>
    </xf>
    <xf borderId="22" fillId="0" fontId="2" numFmtId="9" xfId="0" applyAlignment="1" applyBorder="1" applyFont="1" applyNumberFormat="1">
      <alignment readingOrder="0"/>
    </xf>
    <xf borderId="24" fillId="0" fontId="2" numFmtId="0" xfId="0" applyAlignment="1" applyBorder="1" applyFont="1">
      <alignment readingOrder="0"/>
    </xf>
    <xf borderId="25" fillId="0" fontId="2" numFmtId="0" xfId="0" applyAlignment="1" applyBorder="1" applyFont="1">
      <alignment readingOrder="0"/>
    </xf>
    <xf borderId="17" fillId="8" fontId="11" numFmtId="0" xfId="0" applyBorder="1" applyFont="1"/>
    <xf borderId="26" fillId="8" fontId="11" numFmtId="0" xfId="0" applyBorder="1" applyFont="1"/>
    <xf borderId="0" fillId="8" fontId="11" numFmtId="0" xfId="0" applyFont="1"/>
    <xf borderId="21" fillId="0" fontId="2" numFmtId="0" xfId="0" applyAlignment="1" applyBorder="1" applyFont="1">
      <alignment readingOrder="0"/>
    </xf>
    <xf borderId="11" fillId="0" fontId="3" numFmtId="0" xfId="0" applyAlignment="1" applyBorder="1" applyFont="1">
      <alignment horizontal="right" vertical="bottom"/>
    </xf>
    <xf borderId="23" fillId="0" fontId="2" numFmtId="0" xfId="0" applyBorder="1" applyFont="1"/>
    <xf borderId="24" fillId="0" fontId="2" numFmtId="0" xfId="0" applyBorder="1" applyFont="1"/>
    <xf borderId="1" fillId="0" fontId="2" numFmtId="0" xfId="0" applyBorder="1" applyFont="1"/>
    <xf borderId="22" fillId="0" fontId="2" numFmtId="0" xfId="0" applyBorder="1" applyFont="1"/>
    <xf borderId="21" fillId="0" fontId="2" numFmtId="0" xfId="0" applyBorder="1" applyFont="1"/>
    <xf borderId="21" fillId="0" fontId="2" numFmtId="0" xfId="0" applyBorder="1" applyFont="1"/>
    <xf borderId="0" fillId="9" fontId="12" numFmtId="0" xfId="0" applyAlignment="1" applyFill="1" applyFont="1">
      <alignment readingOrder="0"/>
    </xf>
    <xf borderId="16" fillId="2" fontId="4" numFmtId="0" xfId="0" applyAlignment="1" applyBorder="1" applyFont="1">
      <alignment horizontal="center" readingOrder="0"/>
    </xf>
    <xf borderId="17" fillId="2" fontId="2" numFmtId="0" xfId="0" applyAlignment="1" applyBorder="1" applyFont="1">
      <alignment horizontal="center"/>
    </xf>
    <xf borderId="18" fillId="2" fontId="2" numFmtId="0" xfId="0" applyAlignment="1" applyBorder="1" applyFont="1">
      <alignment horizontal="center" readingOrder="0"/>
    </xf>
    <xf borderId="18" fillId="2" fontId="11" numFmtId="2" xfId="0" applyAlignment="1" applyBorder="1" applyFont="1" applyNumberFormat="1">
      <alignment horizontal="center"/>
    </xf>
    <xf borderId="19" fillId="2" fontId="11" numFmtId="2" xfId="0" applyAlignment="1" applyBorder="1" applyFont="1" applyNumberFormat="1">
      <alignment horizontal="center"/>
    </xf>
    <xf borderId="21" fillId="2" fontId="2" numFmtId="0" xfId="0" applyAlignment="1" applyBorder="1" applyFont="1">
      <alignment readingOrder="0"/>
    </xf>
    <xf borderId="1" fillId="2" fontId="2" numFmtId="0" xfId="0" applyAlignment="1" applyBorder="1" applyFont="1">
      <alignment readingOrder="0"/>
    </xf>
    <xf borderId="22" fillId="2" fontId="2" numFmtId="0" xfId="0" applyAlignment="1" applyBorder="1" applyFont="1">
      <alignment readingOrder="0"/>
    </xf>
    <xf borderId="0" fillId="9" fontId="12" numFmtId="0" xfId="0" applyAlignment="1" applyFont="1">
      <alignment horizontal="right" readingOrder="0" vertical="top"/>
    </xf>
    <xf borderId="23" fillId="2" fontId="2" numFmtId="0" xfId="0" applyAlignment="1" applyBorder="1" applyFont="1">
      <alignment readingOrder="0"/>
    </xf>
    <xf borderId="22" fillId="2" fontId="2" numFmtId="9" xfId="0" applyAlignment="1" applyBorder="1" applyFont="1" applyNumberFormat="1">
      <alignment readingOrder="0"/>
    </xf>
    <xf borderId="24" fillId="2" fontId="2" numFmtId="0" xfId="0" applyAlignment="1" applyBorder="1" applyFont="1">
      <alignment readingOrder="0"/>
    </xf>
    <xf borderId="25" fillId="2" fontId="2" numFmtId="0" xfId="0" applyAlignment="1" applyBorder="1" applyFont="1">
      <alignment readingOrder="0"/>
    </xf>
    <xf borderId="17" fillId="2" fontId="11" numFmtId="0" xfId="0" applyBorder="1" applyFont="1"/>
    <xf borderId="26" fillId="2" fontId="11" numFmtId="0" xfId="0" applyBorder="1" applyFont="1"/>
    <xf borderId="0" fillId="2" fontId="11" numFmtId="0" xfId="0" applyFont="1"/>
    <xf borderId="16" fillId="0" fontId="4" numFmtId="0" xfId="0" applyAlignment="1" applyBorder="1" applyFont="1">
      <alignment horizontal="center"/>
    </xf>
    <xf borderId="18" fillId="0" fontId="2" numFmtId="0" xfId="0" applyAlignment="1" applyBorder="1" applyFont="1">
      <alignment horizontal="center"/>
    </xf>
    <xf borderId="27" fillId="0" fontId="4" numFmtId="0" xfId="0" applyAlignment="1" applyBorder="1" applyFont="1">
      <alignment horizontal="center"/>
    </xf>
    <xf borderId="28" fillId="0" fontId="2" numFmtId="0" xfId="0" applyAlignment="1" applyBorder="1" applyFont="1">
      <alignment horizontal="center"/>
    </xf>
    <xf borderId="29" fillId="0" fontId="2" numFmtId="0" xfId="0" applyAlignment="1" applyBorder="1" applyFont="1">
      <alignment horizontal="center"/>
    </xf>
    <xf borderId="29" fillId="8" fontId="11" numFmtId="2" xfId="0" applyAlignment="1" applyBorder="1" applyFont="1" applyNumberFormat="1">
      <alignment horizontal="center"/>
    </xf>
    <xf borderId="30" fillId="8" fontId="11" numFmtId="2" xfId="0" applyAlignment="1" applyBorder="1" applyFont="1" applyNumberFormat="1">
      <alignment horizontal="center"/>
    </xf>
    <xf borderId="31" fillId="0" fontId="2" numFmtId="0" xfId="0" applyBorder="1" applyFont="1"/>
    <xf borderId="32" fillId="0" fontId="2" numFmtId="0" xfId="0" applyBorder="1" applyFont="1"/>
    <xf borderId="33" fillId="0" fontId="2" numFmtId="0" xfId="0" applyBorder="1" applyFont="1"/>
    <xf borderId="34" fillId="0" fontId="2" numFmtId="0" xfId="0" applyBorder="1" applyFont="1"/>
    <xf borderId="33" fillId="0" fontId="2" numFmtId="9" xfId="0" applyAlignment="1" applyBorder="1" applyFont="1" applyNumberFormat="1">
      <alignment readingOrder="0"/>
    </xf>
    <xf borderId="35" fillId="0" fontId="2" numFmtId="0" xfId="0" applyBorder="1" applyFont="1"/>
    <xf borderId="36" fillId="0" fontId="2" numFmtId="0" xfId="0" applyAlignment="1" applyBorder="1" applyFont="1">
      <alignment readingOrder="0"/>
    </xf>
    <xf borderId="0" fillId="0" fontId="13" numFmtId="0" xfId="0" applyAlignment="1" applyFont="1">
      <alignment readingOrder="0"/>
    </xf>
    <xf borderId="1" fillId="2" fontId="13" numFmtId="0" xfId="0" applyAlignment="1" applyBorder="1" applyFont="1">
      <alignment horizontal="center" readingOrder="0"/>
    </xf>
    <xf borderId="1" fillId="2" fontId="13" numFmtId="10" xfId="0" applyAlignment="1" applyBorder="1" applyFont="1" applyNumberFormat="1">
      <alignment horizontal="center" readingOrder="0"/>
    </xf>
    <xf borderId="1" fillId="0" fontId="13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1</xdr:row>
      <xdr:rowOff>76200</xdr:rowOff>
    </xdr:from>
    <xdr:ext cx="1466850" cy="11811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finviz.com/screener.ashx?v=111&amp;f=fa_debteq_u0.5,fa_pe_low,fa_roe_o10&amp;ft=2" TargetMode="External"/><Relationship Id="rId2" Type="http://schemas.openxmlformats.org/officeDocument/2006/relationships/hyperlink" Target="https://www.gurufocus.com/guru/warren+buffett/stock-picks" TargetMode="External"/><Relationship Id="rId3" Type="http://schemas.openxmlformats.org/officeDocument/2006/relationships/hyperlink" Target="https://www.gurufocus.com/guru/bargains" TargetMode="External"/><Relationship Id="rId4" Type="http://schemas.openxmlformats.org/officeDocument/2006/relationships/hyperlink" Target="https://www2.sgx.com/securities/stock-screener" TargetMode="External"/><Relationship Id="rId9" Type="http://schemas.openxmlformats.org/officeDocument/2006/relationships/drawing" Target="../drawings/drawing2.xml"/><Relationship Id="rId5" Type="http://schemas.openxmlformats.org/officeDocument/2006/relationships/hyperlink" Target="http://www.bursamarketplace.com/mkt/tools/screener" TargetMode="External"/><Relationship Id="rId6" Type="http://schemas.openxmlformats.org/officeDocument/2006/relationships/hyperlink" Target="http://www.bursamarketplace.com/mkt/tools/alphaindicator" TargetMode="External"/><Relationship Id="rId7" Type="http://schemas.openxmlformats.org/officeDocument/2006/relationships/hyperlink" Target="https://www.jitta.com/home" TargetMode="External"/><Relationship Id="rId8" Type="http://schemas.openxmlformats.org/officeDocument/2006/relationships/hyperlink" Target="https://www.dividendyields.org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36.25"/>
    <col customWidth="1" min="3" max="3" width="17.0"/>
    <col customWidth="1" min="4" max="4" width="16.0"/>
    <col customWidth="1" min="5" max="5" width="15.5"/>
    <col customWidth="1" min="6" max="6" width="13.0"/>
    <col customWidth="1" min="7" max="7" width="47.13"/>
  </cols>
  <sheetData>
    <row r="1">
      <c r="A1" s="1" t="s">
        <v>0</v>
      </c>
    </row>
    <row r="2">
      <c r="C2" s="2" t="s">
        <v>1</v>
      </c>
      <c r="D2" s="2" t="s">
        <v>2</v>
      </c>
    </row>
    <row r="3">
      <c r="C3" s="2" t="s">
        <v>3</v>
      </c>
      <c r="D3" s="2" t="s">
        <v>4</v>
      </c>
      <c r="I3" s="3"/>
    </row>
    <row r="4">
      <c r="C4" s="2" t="s">
        <v>5</v>
      </c>
      <c r="D4" s="2" t="s">
        <v>6</v>
      </c>
      <c r="I4" s="3"/>
    </row>
    <row r="5">
      <c r="C5" s="2" t="s">
        <v>7</v>
      </c>
      <c r="D5" s="2" t="s">
        <v>8</v>
      </c>
      <c r="I5" s="3"/>
    </row>
    <row r="6">
      <c r="C6" s="2" t="s">
        <v>9</v>
      </c>
      <c r="D6" s="2" t="s">
        <v>10</v>
      </c>
      <c r="I6" s="3"/>
    </row>
    <row r="7">
      <c r="I7" s="3"/>
    </row>
    <row r="11">
      <c r="A11" s="4" t="s">
        <v>11</v>
      </c>
      <c r="B11" s="5" t="s">
        <v>12</v>
      </c>
      <c r="C11" s="6"/>
      <c r="D11" s="7"/>
    </row>
    <row r="12">
      <c r="B12" s="8"/>
      <c r="C12" s="6"/>
      <c r="D12" s="7"/>
    </row>
    <row r="13">
      <c r="B13" s="5" t="s">
        <v>13</v>
      </c>
      <c r="C13" s="7"/>
      <c r="D13" s="7"/>
    </row>
    <row r="14">
      <c r="B14" s="5" t="s">
        <v>14</v>
      </c>
      <c r="C14" s="7"/>
      <c r="D14" s="7"/>
    </row>
    <row r="15">
      <c r="B15" s="5" t="s">
        <v>15</v>
      </c>
      <c r="C15" s="7"/>
      <c r="D15" s="7"/>
    </row>
    <row r="16">
      <c r="B16" s="5" t="s">
        <v>16</v>
      </c>
      <c r="C16" s="7"/>
      <c r="D16" s="7"/>
    </row>
    <row r="17">
      <c r="B17" s="5" t="s">
        <v>17</v>
      </c>
      <c r="C17" s="6" t="s">
        <v>18</v>
      </c>
      <c r="D17" s="7"/>
    </row>
    <row r="18">
      <c r="B18" s="7"/>
      <c r="C18" s="7"/>
      <c r="D18" s="7"/>
    </row>
    <row r="19">
      <c r="A19" s="4" t="s">
        <v>19</v>
      </c>
    </row>
    <row r="20">
      <c r="B20" s="4" t="s">
        <v>20</v>
      </c>
      <c r="C20" s="4" t="s">
        <v>21</v>
      </c>
      <c r="G20" s="4" t="s">
        <v>22</v>
      </c>
    </row>
    <row r="21">
      <c r="A21" s="4" t="s">
        <v>23</v>
      </c>
      <c r="B21" s="2" t="s">
        <v>24</v>
      </c>
      <c r="C21" s="2" t="s">
        <v>25</v>
      </c>
      <c r="G21" s="2" t="s">
        <v>26</v>
      </c>
    </row>
    <row r="22">
      <c r="A22" s="4" t="s">
        <v>27</v>
      </c>
      <c r="B22" s="2" t="s">
        <v>28</v>
      </c>
      <c r="C22" s="2" t="s">
        <v>29</v>
      </c>
      <c r="G22" s="2" t="s">
        <v>30</v>
      </c>
    </row>
    <row r="23">
      <c r="A23" s="4" t="s">
        <v>31</v>
      </c>
      <c r="B23" s="2" t="s">
        <v>32</v>
      </c>
      <c r="C23" s="2" t="s">
        <v>33</v>
      </c>
      <c r="G23" s="2" t="s">
        <v>34</v>
      </c>
    </row>
    <row r="24">
      <c r="A24" s="4" t="s">
        <v>35</v>
      </c>
      <c r="B24" s="2" t="s">
        <v>36</v>
      </c>
      <c r="C24" s="2" t="s">
        <v>37</v>
      </c>
      <c r="G24" s="2" t="s">
        <v>38</v>
      </c>
    </row>
    <row r="25">
      <c r="A25" s="4" t="s">
        <v>23</v>
      </c>
      <c r="B25" s="2" t="s">
        <v>39</v>
      </c>
      <c r="C25" s="9" t="s">
        <v>40</v>
      </c>
      <c r="D25" s="10" t="s">
        <v>41</v>
      </c>
      <c r="E25" s="11" t="s">
        <v>42</v>
      </c>
      <c r="F25" s="12" t="s">
        <v>43</v>
      </c>
      <c r="G25" s="2" t="s">
        <v>44</v>
      </c>
    </row>
    <row r="26">
      <c r="A26" s="4" t="s">
        <v>45</v>
      </c>
      <c r="B26" s="2" t="s">
        <v>46</v>
      </c>
      <c r="C26" s="2" t="s">
        <v>47</v>
      </c>
      <c r="G26" s="2" t="s">
        <v>48</v>
      </c>
    </row>
    <row r="27">
      <c r="A27" s="4" t="s">
        <v>49</v>
      </c>
      <c r="B27" s="2" t="s">
        <v>50</v>
      </c>
      <c r="C27" s="2" t="s">
        <v>51</v>
      </c>
      <c r="G27" s="2" t="s">
        <v>52</v>
      </c>
    </row>
    <row r="28">
      <c r="A28" s="4" t="s">
        <v>53</v>
      </c>
      <c r="B28" s="2" t="s">
        <v>54</v>
      </c>
      <c r="C28" s="2" t="s">
        <v>55</v>
      </c>
      <c r="G28" s="2" t="s">
        <v>56</v>
      </c>
    </row>
    <row r="29">
      <c r="A29" s="4" t="s">
        <v>57</v>
      </c>
      <c r="B29" s="2" t="s">
        <v>58</v>
      </c>
      <c r="C29" s="2" t="s">
        <v>59</v>
      </c>
      <c r="G29" s="2" t="s">
        <v>60</v>
      </c>
    </row>
    <row r="30">
      <c r="A30" s="4" t="s">
        <v>61</v>
      </c>
      <c r="B30" s="2" t="s">
        <v>62</v>
      </c>
      <c r="C30" s="2" t="s">
        <v>63</v>
      </c>
      <c r="G30" s="2" t="s">
        <v>64</v>
      </c>
    </row>
    <row r="31">
      <c r="C31" s="2" t="s">
        <v>65</v>
      </c>
    </row>
    <row r="33">
      <c r="A33" s="13" t="s">
        <v>66</v>
      </c>
    </row>
    <row r="35">
      <c r="A35" s="4" t="s">
        <v>67</v>
      </c>
      <c r="B35" s="2" t="s">
        <v>68</v>
      </c>
      <c r="C35" s="9" t="s">
        <v>69</v>
      </c>
      <c r="D35" s="10" t="s">
        <v>70</v>
      </c>
    </row>
    <row r="36">
      <c r="B36" s="2" t="s">
        <v>71</v>
      </c>
    </row>
    <row r="37">
      <c r="A37" s="4" t="s">
        <v>72</v>
      </c>
      <c r="B37" s="2" t="s">
        <v>73</v>
      </c>
      <c r="C37" s="9" t="s">
        <v>74</v>
      </c>
      <c r="D37" s="10" t="s">
        <v>75</v>
      </c>
    </row>
    <row r="38">
      <c r="B38" s="2" t="s">
        <v>76</v>
      </c>
      <c r="C38" s="2" t="s">
        <v>77</v>
      </c>
    </row>
    <row r="39">
      <c r="A39" s="4" t="s">
        <v>78</v>
      </c>
      <c r="B39" s="2" t="s">
        <v>79</v>
      </c>
      <c r="D39" s="2" t="s">
        <v>80</v>
      </c>
      <c r="E39" s="2" t="s">
        <v>81</v>
      </c>
    </row>
    <row r="40">
      <c r="B40" s="2" t="s">
        <v>82</v>
      </c>
      <c r="D40" s="2" t="s">
        <v>83</v>
      </c>
      <c r="E40" s="2" t="s">
        <v>84</v>
      </c>
      <c r="G40" s="14"/>
    </row>
    <row r="42">
      <c r="A42" s="13" t="s">
        <v>85</v>
      </c>
    </row>
    <row r="44">
      <c r="A44" s="4" t="s">
        <v>67</v>
      </c>
      <c r="B44" s="2" t="s">
        <v>86</v>
      </c>
    </row>
    <row r="45">
      <c r="A45" s="4" t="s">
        <v>72</v>
      </c>
      <c r="B45" s="2" t="s">
        <v>87</v>
      </c>
    </row>
    <row r="46">
      <c r="A46" s="4" t="s">
        <v>78</v>
      </c>
      <c r="B46" s="2" t="s">
        <v>88</v>
      </c>
    </row>
    <row r="48">
      <c r="A48" s="13" t="s">
        <v>89</v>
      </c>
    </row>
    <row r="50">
      <c r="A50" s="2" t="s">
        <v>90</v>
      </c>
      <c r="C50" s="15" t="s">
        <v>91</v>
      </c>
      <c r="D50" s="15" t="s">
        <v>92</v>
      </c>
    </row>
    <row r="51">
      <c r="C51" s="16">
        <v>10.0</v>
      </c>
      <c r="D51" s="17">
        <v>0.25</v>
      </c>
    </row>
    <row r="52">
      <c r="C52" s="16">
        <v>20.0</v>
      </c>
      <c r="D52" s="17">
        <v>0.5</v>
      </c>
    </row>
    <row r="53">
      <c r="C53" s="16">
        <v>30.0</v>
      </c>
      <c r="D53" s="17">
        <v>0.75</v>
      </c>
    </row>
    <row r="54">
      <c r="C54" s="16">
        <v>40.0</v>
      </c>
      <c r="D54" s="17">
        <v>1.0</v>
      </c>
    </row>
  </sheetData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20.25"/>
    <col customWidth="1" min="3" max="3" width="16.5"/>
  </cols>
  <sheetData>
    <row r="1">
      <c r="A1" s="18" t="s">
        <v>93</v>
      </c>
    </row>
    <row r="3">
      <c r="A3" s="4" t="s">
        <v>94</v>
      </c>
    </row>
    <row r="4">
      <c r="A4" s="2"/>
      <c r="B4" s="4" t="s">
        <v>95</v>
      </c>
    </row>
    <row r="5">
      <c r="B5" s="2" t="s">
        <v>96</v>
      </c>
      <c r="D5" s="19" t="s">
        <v>97</v>
      </c>
    </row>
    <row r="6">
      <c r="B6" s="2" t="s">
        <v>98</v>
      </c>
      <c r="D6" s="20" t="s">
        <v>99</v>
      </c>
    </row>
    <row r="7">
      <c r="B7" s="2" t="s">
        <v>100</v>
      </c>
      <c r="D7" s="19" t="s">
        <v>101</v>
      </c>
    </row>
    <row r="9">
      <c r="B9" s="4" t="s">
        <v>102</v>
      </c>
    </row>
    <row r="10">
      <c r="B10" s="2" t="s">
        <v>103</v>
      </c>
      <c r="D10" s="19" t="s">
        <v>104</v>
      </c>
    </row>
    <row r="13">
      <c r="B13" s="4" t="s">
        <v>105</v>
      </c>
    </row>
    <row r="14">
      <c r="B14" s="2" t="s">
        <v>106</v>
      </c>
      <c r="D14" s="19" t="s">
        <v>107</v>
      </c>
    </row>
    <row r="15">
      <c r="D15" s="19" t="s">
        <v>108</v>
      </c>
    </row>
    <row r="17">
      <c r="B17" s="4" t="s">
        <v>109</v>
      </c>
    </row>
    <row r="18">
      <c r="B18" s="2" t="s">
        <v>110</v>
      </c>
      <c r="D18" s="19" t="s">
        <v>111</v>
      </c>
    </row>
    <row r="20">
      <c r="B20" s="4" t="s">
        <v>112</v>
      </c>
      <c r="D20" s="19" t="s">
        <v>113</v>
      </c>
    </row>
  </sheetData>
  <hyperlinks>
    <hyperlink r:id="rId1" ref="D5"/>
    <hyperlink r:id="rId2" ref="D6"/>
    <hyperlink r:id="rId3" ref="D7"/>
    <hyperlink r:id="rId4" ref="D10"/>
    <hyperlink r:id="rId5" ref="D14"/>
    <hyperlink r:id="rId6" ref="D15"/>
    <hyperlink r:id="rId7" ref="D18"/>
    <hyperlink r:id="rId8" ref="D20"/>
  </hyperlinks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2.0" topLeftCell="G3" activePane="bottomRight" state="frozen"/>
      <selection activeCell="G1" sqref="G1" pane="topRight"/>
      <selection activeCell="A3" sqref="A3" pane="bottomLeft"/>
      <selection activeCell="G3" sqref="G3" pane="bottomRight"/>
    </sheetView>
  </sheetViews>
  <sheetFormatPr customHeight="1" defaultColWidth="12.63" defaultRowHeight="15.75"/>
  <cols>
    <col customWidth="1" min="2" max="2" width="7.5"/>
    <col customWidth="1" min="3" max="3" width="10.25"/>
    <col customWidth="1" min="4" max="4" width="11.5"/>
    <col customWidth="1" min="5" max="5" width="6.63"/>
    <col customWidth="1" min="6" max="7" width="8.5"/>
    <col customWidth="1" min="8" max="8" width="7.0"/>
    <col customWidth="1" min="9" max="9" width="9.0"/>
    <col customWidth="1" min="10" max="10" width="8.38"/>
    <col customWidth="1" min="11" max="11" width="9.13"/>
    <col customWidth="1" min="12" max="12" width="9.63"/>
    <col customWidth="1" min="13" max="13" width="9.0"/>
    <col customWidth="1" min="14" max="14" width="8.5"/>
    <col customWidth="1" min="15" max="15" width="7.38"/>
    <col customWidth="1" min="16" max="16" width="9.88"/>
    <col customWidth="1" min="17" max="17" width="10.13"/>
    <col customWidth="1" min="18" max="18" width="8.63"/>
    <col customWidth="1" min="19" max="19" width="16.5"/>
    <col customWidth="1" min="20" max="20" width="8.75"/>
    <col customWidth="1" min="21" max="21" width="6.63"/>
    <col customWidth="1" min="22" max="22" width="11.25"/>
    <col hidden="1" min="23" max="43" width="12.63"/>
  </cols>
  <sheetData>
    <row r="1">
      <c r="A1" s="21" t="s">
        <v>114</v>
      </c>
      <c r="B1" s="21" t="s">
        <v>115</v>
      </c>
      <c r="C1" s="21" t="s">
        <v>116</v>
      </c>
      <c r="D1" s="21" t="s">
        <v>117</v>
      </c>
      <c r="E1" s="21" t="s">
        <v>118</v>
      </c>
      <c r="F1" s="21" t="s">
        <v>119</v>
      </c>
      <c r="G1" s="22" t="s">
        <v>120</v>
      </c>
      <c r="H1" s="22" t="s">
        <v>121</v>
      </c>
      <c r="I1" s="22" t="s">
        <v>122</v>
      </c>
      <c r="J1" s="22" t="s">
        <v>123</v>
      </c>
      <c r="K1" s="22" t="s">
        <v>124</v>
      </c>
      <c r="L1" s="22" t="s">
        <v>125</v>
      </c>
      <c r="M1" s="22" t="s">
        <v>126</v>
      </c>
      <c r="N1" s="22" t="s">
        <v>127</v>
      </c>
      <c r="O1" s="22" t="s">
        <v>128</v>
      </c>
      <c r="P1" s="23" t="s">
        <v>129</v>
      </c>
      <c r="Q1" s="24" t="s">
        <v>130</v>
      </c>
      <c r="R1" s="25"/>
      <c r="S1" s="26" t="s">
        <v>131</v>
      </c>
      <c r="T1" s="27"/>
      <c r="U1" s="28" t="s">
        <v>132</v>
      </c>
      <c r="V1" s="29"/>
      <c r="W1" s="2" t="s">
        <v>133</v>
      </c>
      <c r="X1" s="2"/>
      <c r="Y1" s="2" t="s">
        <v>134</v>
      </c>
      <c r="Z1" s="2"/>
      <c r="AA1" s="2" t="s">
        <v>135</v>
      </c>
      <c r="AB1" s="2"/>
      <c r="AC1" s="2" t="s">
        <v>136</v>
      </c>
      <c r="AD1" s="2" t="s">
        <v>137</v>
      </c>
      <c r="AE1" s="2" t="s">
        <v>138</v>
      </c>
      <c r="AF1" s="2" t="s">
        <v>139</v>
      </c>
      <c r="AG1" s="2" t="s">
        <v>140</v>
      </c>
      <c r="AH1" s="2" t="s">
        <v>141</v>
      </c>
      <c r="AI1" s="2" t="s">
        <v>142</v>
      </c>
      <c r="AJ1" s="2" t="s">
        <v>143</v>
      </c>
      <c r="AK1" s="2" t="s">
        <v>144</v>
      </c>
      <c r="AL1" s="2" t="s">
        <v>145</v>
      </c>
      <c r="AM1" s="2" t="s">
        <v>146</v>
      </c>
      <c r="AN1" s="2" t="s">
        <v>49</v>
      </c>
      <c r="AO1" s="2" t="s">
        <v>53</v>
      </c>
      <c r="AP1" s="2" t="s">
        <v>57</v>
      </c>
      <c r="AQ1" s="2" t="s">
        <v>61</v>
      </c>
    </row>
    <row r="2">
      <c r="A2" s="30"/>
      <c r="B2" s="30"/>
      <c r="C2" s="30"/>
      <c r="D2" s="30"/>
      <c r="E2" s="30"/>
      <c r="F2" s="30"/>
      <c r="G2" s="31" t="s">
        <v>147</v>
      </c>
      <c r="H2" s="31" t="s">
        <v>148</v>
      </c>
      <c r="I2" s="31" t="s">
        <v>149</v>
      </c>
      <c r="J2" s="31" t="s">
        <v>150</v>
      </c>
      <c r="K2" s="31" t="s">
        <v>147</v>
      </c>
      <c r="L2" s="31" t="s">
        <v>151</v>
      </c>
      <c r="M2" s="31" t="s">
        <v>152</v>
      </c>
      <c r="N2" s="32" t="s">
        <v>153</v>
      </c>
      <c r="O2" s="32" t="s">
        <v>154</v>
      </c>
      <c r="P2" s="33" t="s">
        <v>155</v>
      </c>
      <c r="Q2" s="34" t="s">
        <v>120</v>
      </c>
      <c r="R2" s="35" t="s">
        <v>156</v>
      </c>
      <c r="S2" s="36" t="s">
        <v>157</v>
      </c>
      <c r="T2" s="37" t="s">
        <v>158</v>
      </c>
      <c r="U2" s="38" t="s">
        <v>159</v>
      </c>
      <c r="V2" s="39" t="s">
        <v>160</v>
      </c>
      <c r="W2" s="2" t="s">
        <v>118</v>
      </c>
      <c r="X2" s="2" t="s">
        <v>161</v>
      </c>
      <c r="Y2" s="2" t="s">
        <v>118</v>
      </c>
      <c r="Z2" s="2" t="s">
        <v>161</v>
      </c>
      <c r="AA2" s="2" t="s">
        <v>118</v>
      </c>
      <c r="AB2" s="2" t="s">
        <v>161</v>
      </c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</row>
    <row r="3">
      <c r="A3" s="40" t="s">
        <v>162</v>
      </c>
      <c r="B3" s="41">
        <f t="shared" ref="B3:B101" si="3">SUM(AC3:AQ3)</f>
        <v>7.5</v>
      </c>
      <c r="C3" s="42" t="s">
        <v>67</v>
      </c>
      <c r="D3" s="43">
        <f>IFERROR(__xludf.DUMMYFUNCTION("GOOGLEFINANCE(A3,""price"")"),50.28)</f>
        <v>50.28</v>
      </c>
      <c r="E3" s="43">
        <f t="shared" ref="E3:E101" si="4">if(ISBLANK(C3),"",if(C3="Growth",W3,if(C3="Dividends",Y3,if(C3="Asset",AA3))))</f>
        <v>26.2724</v>
      </c>
      <c r="F3" s="44">
        <f t="shared" ref="F3:F101" si="5">if(ISBLANK(C3),"",if(C3="Growth",X3,if(C3="Dividends",Z3,if(C3="Asset",AB3))))</f>
        <v>31.52688</v>
      </c>
      <c r="G3" s="45" t="s">
        <v>163</v>
      </c>
      <c r="H3" s="46" t="s">
        <v>163</v>
      </c>
      <c r="I3" s="46" t="s">
        <v>164</v>
      </c>
      <c r="J3" s="46" t="s">
        <v>165</v>
      </c>
      <c r="K3" s="46" t="s">
        <v>166</v>
      </c>
      <c r="L3" s="46" t="s">
        <v>167</v>
      </c>
      <c r="M3" s="46" t="s">
        <v>163</v>
      </c>
      <c r="N3" s="46" t="s">
        <v>168</v>
      </c>
      <c r="O3" s="46" t="s">
        <v>169</v>
      </c>
      <c r="P3" s="47" t="s">
        <v>169</v>
      </c>
      <c r="Q3" s="48">
        <v>3.08</v>
      </c>
      <c r="R3" s="49">
        <v>8.53</v>
      </c>
      <c r="S3" s="50">
        <v>0.92</v>
      </c>
      <c r="T3" s="51">
        <v>0.05</v>
      </c>
      <c r="U3" s="52">
        <v>100.0</v>
      </c>
      <c r="V3" s="53">
        <v>0.8</v>
      </c>
      <c r="W3" s="54">
        <f t="shared" ref="W3:W101" si="6">Q3*R3</f>
        <v>26.2724</v>
      </c>
      <c r="X3" s="54">
        <f t="shared" ref="X3:X101" si="7">W3*1.2</f>
        <v>31.52688</v>
      </c>
      <c r="Y3" s="54">
        <f t="shared" ref="Y3:Y101" si="8">S3/T3</f>
        <v>18.4</v>
      </c>
      <c r="Z3" s="54">
        <f t="shared" ref="Z3:Z101" si="9">Y3*1.5</f>
        <v>27.6</v>
      </c>
      <c r="AA3" s="54">
        <f t="shared" ref="AA3:AA101" si="10">U3*V3</f>
        <v>80</v>
      </c>
      <c r="AB3" s="54">
        <f t="shared" ref="AB3:AB101" si="11">U3</f>
        <v>100</v>
      </c>
      <c r="AC3" s="55">
        <f t="shared" ref="AC3:AD3" si="1">if(G3="yes",1,"")</f>
        <v>1</v>
      </c>
      <c r="AD3" s="56">
        <f t="shared" si="1"/>
        <v>1</v>
      </c>
      <c r="AE3" s="56">
        <f t="shared" ref="AE3:AE101" si="13">if(I3="Yes ",1,"")</f>
        <v>1</v>
      </c>
      <c r="AF3" s="56">
        <f t="shared" ref="AF3:AF101" si="14">if(J3="&gt;  10",1,"")</f>
        <v>1</v>
      </c>
      <c r="AG3" s="56" t="str">
        <f t="shared" ref="AG3:AG101" si="15">if(J3="&gt; 4",0.5,"")</f>
        <v/>
      </c>
      <c r="AH3" s="56" t="str">
        <f t="shared" ref="AH3:AH101" si="16">if(K3="3 or More Moats",4,"")</f>
        <v/>
      </c>
      <c r="AI3" s="56">
        <f t="shared" ref="AI3:AI101" si="17">if(K3="2 Moats",3,"")</f>
        <v>3</v>
      </c>
      <c r="AJ3" s="56" t="str">
        <f t="shared" ref="AJ3:AJ101" si="18">if(K3="1 Moat",2,"")</f>
        <v/>
      </c>
      <c r="AK3" s="56" t="str">
        <f t="shared" ref="AK3:AK101" si="19">if(K3="Weak Moat",1,"")</f>
        <v/>
      </c>
      <c r="AL3" s="56" t="str">
        <f t="shared" ref="AL3:AL101" si="20">if(L3="&gt;20%",1,"")</f>
        <v/>
      </c>
      <c r="AM3" s="56">
        <f t="shared" ref="AM3:AM101" si="21">if(L3="&gt;10%",0.5,"")</f>
        <v>0.5</v>
      </c>
      <c r="AN3" s="56">
        <f t="shared" ref="AN3:AN101" si="22">if(M3="yes",1,"")</f>
        <v>1</v>
      </c>
      <c r="AO3" s="56">
        <f t="shared" ref="AO3:AP3" si="2">if(N3="risk",-1,"")</f>
        <v>-1</v>
      </c>
      <c r="AP3" s="56" t="str">
        <f t="shared" si="2"/>
        <v/>
      </c>
      <c r="AQ3" s="56" t="str">
        <f t="shared" ref="AQ3:AQ101" si="24">if(P3="Risk ",-1,"")</f>
        <v/>
      </c>
    </row>
    <row r="4">
      <c r="A4" s="40" t="s">
        <v>170</v>
      </c>
      <c r="B4" s="41">
        <f t="shared" si="3"/>
        <v>9</v>
      </c>
      <c r="C4" s="42" t="s">
        <v>67</v>
      </c>
      <c r="D4" s="43">
        <f>IFERROR(__xludf.DUMMYFUNCTION("GOOGLEFINANCE(A4,""price"")"),333.97)</f>
        <v>333.97</v>
      </c>
      <c r="E4" s="43">
        <f t="shared" si="4"/>
        <v>0</v>
      </c>
      <c r="F4" s="44">
        <f t="shared" si="5"/>
        <v>0</v>
      </c>
      <c r="G4" s="57" t="s">
        <v>163</v>
      </c>
      <c r="H4" s="16" t="s">
        <v>163</v>
      </c>
      <c r="I4" s="16" t="s">
        <v>164</v>
      </c>
      <c r="J4" s="16" t="s">
        <v>165</v>
      </c>
      <c r="K4" s="16" t="s">
        <v>166</v>
      </c>
      <c r="L4" s="16" t="s">
        <v>171</v>
      </c>
      <c r="M4" s="16" t="s">
        <v>163</v>
      </c>
      <c r="N4" s="16" t="s">
        <v>169</v>
      </c>
      <c r="O4" s="16" t="s">
        <v>169</v>
      </c>
      <c r="P4" s="49" t="s">
        <v>169</v>
      </c>
      <c r="Q4" s="58"/>
      <c r="R4" s="49"/>
      <c r="S4" s="59"/>
      <c r="T4" s="51">
        <v>0.05</v>
      </c>
      <c r="U4" s="60"/>
      <c r="V4" s="53">
        <v>0.8</v>
      </c>
      <c r="W4" s="54">
        <f t="shared" si="6"/>
        <v>0</v>
      </c>
      <c r="X4" s="54">
        <f t="shared" si="7"/>
        <v>0</v>
      </c>
      <c r="Y4" s="54">
        <f t="shared" si="8"/>
        <v>0</v>
      </c>
      <c r="Z4" s="54">
        <f t="shared" si="9"/>
        <v>0</v>
      </c>
      <c r="AA4" s="54">
        <f t="shared" si="10"/>
        <v>0</v>
      </c>
      <c r="AB4" s="54" t="str">
        <f t="shared" si="11"/>
        <v/>
      </c>
      <c r="AC4" s="55">
        <f t="shared" ref="AC4:AD4" si="12">if(G4="yes",1,"")</f>
        <v>1</v>
      </c>
      <c r="AD4" s="56">
        <f t="shared" si="12"/>
        <v>1</v>
      </c>
      <c r="AE4" s="56">
        <f t="shared" si="13"/>
        <v>1</v>
      </c>
      <c r="AF4" s="56">
        <f t="shared" si="14"/>
        <v>1</v>
      </c>
      <c r="AG4" s="56" t="str">
        <f t="shared" si="15"/>
        <v/>
      </c>
      <c r="AH4" s="56" t="str">
        <f t="shared" si="16"/>
        <v/>
      </c>
      <c r="AI4" s="56">
        <f t="shared" si="17"/>
        <v>3</v>
      </c>
      <c r="AJ4" s="56" t="str">
        <f t="shared" si="18"/>
        <v/>
      </c>
      <c r="AK4" s="56" t="str">
        <f t="shared" si="19"/>
        <v/>
      </c>
      <c r="AL4" s="56">
        <f t="shared" si="20"/>
        <v>1</v>
      </c>
      <c r="AM4" s="56" t="str">
        <f t="shared" si="21"/>
        <v/>
      </c>
      <c r="AN4" s="56">
        <f t="shared" si="22"/>
        <v>1</v>
      </c>
      <c r="AO4" s="56" t="str">
        <f t="shared" ref="AO4:AP4" si="23">if(N4="risk",-1,"")</f>
        <v/>
      </c>
      <c r="AP4" s="56" t="str">
        <f t="shared" si="23"/>
        <v/>
      </c>
      <c r="AQ4" s="56" t="str">
        <f t="shared" si="24"/>
        <v/>
      </c>
    </row>
    <row r="5">
      <c r="A5" s="40" t="s">
        <v>172</v>
      </c>
      <c r="B5" s="41">
        <f t="shared" si="3"/>
        <v>4.5</v>
      </c>
      <c r="C5" s="42" t="s">
        <v>67</v>
      </c>
      <c r="D5" s="43">
        <f>IFERROR(__xludf.DUMMYFUNCTION("GOOGLEFINANCE(A5,""price"")"),213.77)</f>
        <v>213.77</v>
      </c>
      <c r="E5" s="43">
        <f t="shared" si="4"/>
        <v>0</v>
      </c>
      <c r="F5" s="44">
        <f t="shared" si="5"/>
        <v>0</v>
      </c>
      <c r="G5" s="57" t="s">
        <v>163</v>
      </c>
      <c r="H5" s="16" t="s">
        <v>163</v>
      </c>
      <c r="I5" s="16" t="s">
        <v>173</v>
      </c>
      <c r="J5" s="16" t="s">
        <v>174</v>
      </c>
      <c r="K5" s="16" t="s">
        <v>166</v>
      </c>
      <c r="L5" s="16" t="s">
        <v>173</v>
      </c>
      <c r="M5" s="16" t="s">
        <v>173</v>
      </c>
      <c r="N5" s="16" t="s">
        <v>169</v>
      </c>
      <c r="O5" s="16" t="s">
        <v>168</v>
      </c>
      <c r="P5" s="49" t="s">
        <v>169</v>
      </c>
      <c r="Q5" s="58"/>
      <c r="R5" s="49"/>
      <c r="S5" s="59"/>
      <c r="T5" s="51">
        <v>0.05</v>
      </c>
      <c r="U5" s="60"/>
      <c r="V5" s="53">
        <v>0.8</v>
      </c>
      <c r="W5" s="54">
        <f t="shared" si="6"/>
        <v>0</v>
      </c>
      <c r="X5" s="54">
        <f t="shared" si="7"/>
        <v>0</v>
      </c>
      <c r="Y5" s="54">
        <f t="shared" si="8"/>
        <v>0</v>
      </c>
      <c r="Z5" s="54">
        <f t="shared" si="9"/>
        <v>0</v>
      </c>
      <c r="AA5" s="54">
        <f t="shared" si="10"/>
        <v>0</v>
      </c>
      <c r="AB5" s="54" t="str">
        <f t="shared" si="11"/>
        <v/>
      </c>
      <c r="AC5" s="55">
        <f t="shared" ref="AC5:AD5" si="25">if(G5="yes",1,"")</f>
        <v>1</v>
      </c>
      <c r="AD5" s="56">
        <f t="shared" si="25"/>
        <v>1</v>
      </c>
      <c r="AE5" s="56" t="str">
        <f t="shared" si="13"/>
        <v/>
      </c>
      <c r="AF5" s="56" t="str">
        <f t="shared" si="14"/>
        <v/>
      </c>
      <c r="AG5" s="56">
        <f t="shared" si="15"/>
        <v>0.5</v>
      </c>
      <c r="AH5" s="56" t="str">
        <f t="shared" si="16"/>
        <v/>
      </c>
      <c r="AI5" s="56">
        <f t="shared" si="17"/>
        <v>3</v>
      </c>
      <c r="AJ5" s="56" t="str">
        <f t="shared" si="18"/>
        <v/>
      </c>
      <c r="AK5" s="56" t="str">
        <f t="shared" si="19"/>
        <v/>
      </c>
      <c r="AL5" s="56" t="str">
        <f t="shared" si="20"/>
        <v/>
      </c>
      <c r="AM5" s="56" t="str">
        <f t="shared" si="21"/>
        <v/>
      </c>
      <c r="AN5" s="56" t="str">
        <f t="shared" si="22"/>
        <v/>
      </c>
      <c r="AO5" s="56" t="str">
        <f t="shared" ref="AO5:AP5" si="26">if(N5="risk",-1,"")</f>
        <v/>
      </c>
      <c r="AP5" s="56">
        <f t="shared" si="26"/>
        <v>-1</v>
      </c>
      <c r="AQ5" s="56" t="str">
        <f t="shared" si="24"/>
        <v/>
      </c>
    </row>
    <row r="6">
      <c r="A6" s="40" t="s">
        <v>175</v>
      </c>
      <c r="B6" s="41">
        <f t="shared" si="3"/>
        <v>6</v>
      </c>
      <c r="C6" s="42" t="s">
        <v>67</v>
      </c>
      <c r="D6" s="43">
        <f>IFERROR(__xludf.DUMMYFUNCTION("GOOGLEFINANCE(A6,""price"")"),153.22)</f>
        <v>153.22</v>
      </c>
      <c r="E6" s="43">
        <f t="shared" si="4"/>
        <v>0</v>
      </c>
      <c r="F6" s="44">
        <f t="shared" si="5"/>
        <v>0</v>
      </c>
      <c r="G6" s="57" t="s">
        <v>163</v>
      </c>
      <c r="H6" s="16" t="s">
        <v>163</v>
      </c>
      <c r="I6" s="16" t="s">
        <v>164</v>
      </c>
      <c r="J6" s="16" t="s">
        <v>165</v>
      </c>
      <c r="K6" s="16" t="s">
        <v>176</v>
      </c>
      <c r="L6" s="16" t="s">
        <v>171</v>
      </c>
      <c r="M6" s="16" t="s">
        <v>163</v>
      </c>
      <c r="N6" s="16" t="s">
        <v>168</v>
      </c>
      <c r="O6" s="16" t="s">
        <v>169</v>
      </c>
      <c r="P6" s="49" t="s">
        <v>169</v>
      </c>
      <c r="Q6" s="58"/>
      <c r="R6" s="49"/>
      <c r="S6" s="50"/>
      <c r="T6" s="51">
        <v>0.05</v>
      </c>
      <c r="U6" s="52">
        <v>100.0</v>
      </c>
      <c r="V6" s="53">
        <v>0.8</v>
      </c>
      <c r="W6" s="54">
        <f t="shared" si="6"/>
        <v>0</v>
      </c>
      <c r="X6" s="54">
        <f t="shared" si="7"/>
        <v>0</v>
      </c>
      <c r="Y6" s="54">
        <f t="shared" si="8"/>
        <v>0</v>
      </c>
      <c r="Z6" s="54">
        <f t="shared" si="9"/>
        <v>0</v>
      </c>
      <c r="AA6" s="54">
        <f t="shared" si="10"/>
        <v>80</v>
      </c>
      <c r="AB6" s="54">
        <f t="shared" si="11"/>
        <v>100</v>
      </c>
      <c r="AC6" s="55">
        <f t="shared" ref="AC6:AD6" si="27">if(G6="yes",1,"")</f>
        <v>1</v>
      </c>
      <c r="AD6" s="56">
        <f t="shared" si="27"/>
        <v>1</v>
      </c>
      <c r="AE6" s="56">
        <f t="shared" si="13"/>
        <v>1</v>
      </c>
      <c r="AF6" s="56">
        <f t="shared" si="14"/>
        <v>1</v>
      </c>
      <c r="AG6" s="56" t="str">
        <f t="shared" si="15"/>
        <v/>
      </c>
      <c r="AH6" s="56" t="str">
        <f t="shared" si="16"/>
        <v/>
      </c>
      <c r="AI6" s="56" t="str">
        <f t="shared" si="17"/>
        <v/>
      </c>
      <c r="AJ6" s="56" t="str">
        <f t="shared" si="18"/>
        <v/>
      </c>
      <c r="AK6" s="56">
        <f t="shared" si="19"/>
        <v>1</v>
      </c>
      <c r="AL6" s="56">
        <f t="shared" si="20"/>
        <v>1</v>
      </c>
      <c r="AM6" s="56" t="str">
        <f t="shared" si="21"/>
        <v/>
      </c>
      <c r="AN6" s="56">
        <f t="shared" si="22"/>
        <v>1</v>
      </c>
      <c r="AO6" s="56">
        <f t="shared" ref="AO6:AP6" si="28">if(N6="risk",-1,"")</f>
        <v>-1</v>
      </c>
      <c r="AP6" s="56" t="str">
        <f t="shared" si="28"/>
        <v/>
      </c>
      <c r="AQ6" s="56" t="str">
        <f t="shared" si="24"/>
        <v/>
      </c>
    </row>
    <row r="7">
      <c r="A7" s="40" t="s">
        <v>177</v>
      </c>
      <c r="B7" s="41">
        <f t="shared" si="3"/>
        <v>10</v>
      </c>
      <c r="C7" s="42" t="s">
        <v>126</v>
      </c>
      <c r="D7" s="43" t="str">
        <f>IFERROR(__xludf.DUMMYFUNCTION("GOOGLEFINANCE(A7,""price"")"),"#N/A")</f>
        <v>#N/A</v>
      </c>
      <c r="E7" s="43">
        <f t="shared" si="4"/>
        <v>0</v>
      </c>
      <c r="F7" s="44">
        <f t="shared" si="5"/>
        <v>0</v>
      </c>
      <c r="G7" s="57" t="s">
        <v>163</v>
      </c>
      <c r="H7" s="16" t="s">
        <v>163</v>
      </c>
      <c r="I7" s="16" t="s">
        <v>164</v>
      </c>
      <c r="J7" s="16" t="s">
        <v>165</v>
      </c>
      <c r="K7" s="16" t="s">
        <v>178</v>
      </c>
      <c r="L7" s="16" t="s">
        <v>171</v>
      </c>
      <c r="M7" s="16" t="s">
        <v>163</v>
      </c>
      <c r="N7" s="61"/>
      <c r="O7" s="61"/>
      <c r="P7" s="62"/>
      <c r="Q7" s="63"/>
      <c r="R7" s="62"/>
      <c r="S7" s="59"/>
      <c r="T7" s="51">
        <v>0.05</v>
      </c>
      <c r="U7" s="52">
        <v>200.0</v>
      </c>
      <c r="V7" s="53">
        <v>0.8</v>
      </c>
      <c r="W7" s="54">
        <f t="shared" si="6"/>
        <v>0</v>
      </c>
      <c r="X7" s="54">
        <f t="shared" si="7"/>
        <v>0</v>
      </c>
      <c r="Y7" s="54">
        <f t="shared" si="8"/>
        <v>0</v>
      </c>
      <c r="Z7" s="54">
        <f t="shared" si="9"/>
        <v>0</v>
      </c>
      <c r="AA7" s="54">
        <f t="shared" si="10"/>
        <v>160</v>
      </c>
      <c r="AB7" s="54">
        <f t="shared" si="11"/>
        <v>200</v>
      </c>
      <c r="AC7" s="55">
        <f t="shared" ref="AC7:AD7" si="29">if(G7="yes",1,"")</f>
        <v>1</v>
      </c>
      <c r="AD7" s="56">
        <f t="shared" si="29"/>
        <v>1</v>
      </c>
      <c r="AE7" s="56">
        <f t="shared" si="13"/>
        <v>1</v>
      </c>
      <c r="AF7" s="56">
        <f t="shared" si="14"/>
        <v>1</v>
      </c>
      <c r="AG7" s="56" t="str">
        <f t="shared" si="15"/>
        <v/>
      </c>
      <c r="AH7" s="56">
        <f t="shared" si="16"/>
        <v>4</v>
      </c>
      <c r="AI7" s="56" t="str">
        <f t="shared" si="17"/>
        <v/>
      </c>
      <c r="AJ7" s="56" t="str">
        <f t="shared" si="18"/>
        <v/>
      </c>
      <c r="AK7" s="56" t="str">
        <f t="shared" si="19"/>
        <v/>
      </c>
      <c r="AL7" s="56">
        <f t="shared" si="20"/>
        <v>1</v>
      </c>
      <c r="AM7" s="56" t="str">
        <f t="shared" si="21"/>
        <v/>
      </c>
      <c r="AN7" s="56">
        <f t="shared" si="22"/>
        <v>1</v>
      </c>
      <c r="AO7" s="56" t="str">
        <f t="shared" ref="AO7:AP7" si="30">if(N7="risk",-1,"")</f>
        <v/>
      </c>
      <c r="AP7" s="56" t="str">
        <f t="shared" si="30"/>
        <v/>
      </c>
      <c r="AQ7" s="56" t="str">
        <f t="shared" si="24"/>
        <v/>
      </c>
    </row>
    <row r="8">
      <c r="A8" s="40" t="s">
        <v>179</v>
      </c>
      <c r="B8" s="41">
        <f t="shared" si="3"/>
        <v>6</v>
      </c>
      <c r="C8" s="42" t="s">
        <v>67</v>
      </c>
      <c r="D8" s="43">
        <f>IFERROR(__xludf.DUMMYFUNCTION("GOOGLEFINANCE(A8,""price"")"),24.54)</f>
        <v>24.54</v>
      </c>
      <c r="E8" s="43">
        <f t="shared" si="4"/>
        <v>66.4</v>
      </c>
      <c r="F8" s="44">
        <f t="shared" si="5"/>
        <v>79.68</v>
      </c>
      <c r="G8" s="57" t="s">
        <v>163</v>
      </c>
      <c r="H8" s="16" t="s">
        <v>163</v>
      </c>
      <c r="I8" s="16" t="s">
        <v>164</v>
      </c>
      <c r="J8" s="16" t="s">
        <v>173</v>
      </c>
      <c r="K8" s="16" t="s">
        <v>180</v>
      </c>
      <c r="L8" s="16" t="s">
        <v>171</v>
      </c>
      <c r="M8" s="16" t="s">
        <v>163</v>
      </c>
      <c r="N8" s="16" t="s">
        <v>168</v>
      </c>
      <c r="O8" s="16" t="s">
        <v>169</v>
      </c>
      <c r="P8" s="49" t="s">
        <v>169</v>
      </c>
      <c r="Q8" s="57">
        <v>3.32</v>
      </c>
      <c r="R8" s="49">
        <v>20.0</v>
      </c>
      <c r="S8" s="50">
        <v>0.2</v>
      </c>
      <c r="T8" s="51">
        <v>0.05</v>
      </c>
      <c r="U8" s="52"/>
      <c r="V8" s="53">
        <v>0.8</v>
      </c>
      <c r="W8" s="54">
        <f t="shared" si="6"/>
        <v>66.4</v>
      </c>
      <c r="X8" s="54">
        <f t="shared" si="7"/>
        <v>79.68</v>
      </c>
      <c r="Y8" s="54">
        <f t="shared" si="8"/>
        <v>4</v>
      </c>
      <c r="Z8" s="54">
        <f t="shared" si="9"/>
        <v>6</v>
      </c>
      <c r="AA8" s="54">
        <f t="shared" si="10"/>
        <v>0</v>
      </c>
      <c r="AB8" s="54" t="str">
        <f t="shared" si="11"/>
        <v/>
      </c>
      <c r="AC8" s="55">
        <f t="shared" ref="AC8:AD8" si="31">if(G8="yes",1,"")</f>
        <v>1</v>
      </c>
      <c r="AD8" s="56">
        <f t="shared" si="31"/>
        <v>1</v>
      </c>
      <c r="AE8" s="56">
        <f t="shared" si="13"/>
        <v>1</v>
      </c>
      <c r="AF8" s="56" t="str">
        <f t="shared" si="14"/>
        <v/>
      </c>
      <c r="AG8" s="56" t="str">
        <f t="shared" si="15"/>
        <v/>
      </c>
      <c r="AH8" s="56" t="str">
        <f t="shared" si="16"/>
        <v/>
      </c>
      <c r="AI8" s="56" t="str">
        <f t="shared" si="17"/>
        <v/>
      </c>
      <c r="AJ8" s="56">
        <f t="shared" si="18"/>
        <v>2</v>
      </c>
      <c r="AK8" s="56" t="str">
        <f t="shared" si="19"/>
        <v/>
      </c>
      <c r="AL8" s="56">
        <f t="shared" si="20"/>
        <v>1</v>
      </c>
      <c r="AM8" s="56" t="str">
        <f t="shared" si="21"/>
        <v/>
      </c>
      <c r="AN8" s="56">
        <f t="shared" si="22"/>
        <v>1</v>
      </c>
      <c r="AO8" s="56">
        <f t="shared" ref="AO8:AP8" si="32">if(N8="risk",-1,"")</f>
        <v>-1</v>
      </c>
      <c r="AP8" s="56" t="str">
        <f t="shared" si="32"/>
        <v/>
      </c>
      <c r="AQ8" s="56" t="str">
        <f t="shared" si="24"/>
        <v/>
      </c>
    </row>
    <row r="9">
      <c r="A9" s="40" t="s">
        <v>181</v>
      </c>
      <c r="B9" s="41">
        <f t="shared" si="3"/>
        <v>0</v>
      </c>
      <c r="C9" s="42" t="s">
        <v>67</v>
      </c>
      <c r="D9" s="43">
        <f>IFERROR(__xludf.DUMMYFUNCTION("GOOGLEFINANCE(A9,""price"")"),42.35)</f>
        <v>42.35</v>
      </c>
      <c r="E9" s="43">
        <f t="shared" si="4"/>
        <v>227.1</v>
      </c>
      <c r="F9" s="44">
        <f t="shared" si="5"/>
        <v>272.52</v>
      </c>
      <c r="G9" s="64"/>
      <c r="H9" s="61"/>
      <c r="I9" s="61"/>
      <c r="J9" s="61"/>
      <c r="K9" s="61"/>
      <c r="L9" s="61"/>
      <c r="M9" s="61"/>
      <c r="N9" s="61"/>
      <c r="O9" s="61"/>
      <c r="P9" s="62"/>
      <c r="Q9" s="65">
        <v>7.57</v>
      </c>
      <c r="R9" s="49">
        <v>30.0</v>
      </c>
      <c r="S9" s="59"/>
      <c r="T9" s="51">
        <v>0.05</v>
      </c>
      <c r="U9" s="60"/>
      <c r="V9" s="53">
        <v>0.8</v>
      </c>
      <c r="W9" s="54">
        <f t="shared" si="6"/>
        <v>227.1</v>
      </c>
      <c r="X9" s="54">
        <f t="shared" si="7"/>
        <v>272.52</v>
      </c>
      <c r="Y9" s="54">
        <f t="shared" si="8"/>
        <v>0</v>
      </c>
      <c r="Z9" s="54">
        <f t="shared" si="9"/>
        <v>0</v>
      </c>
      <c r="AA9" s="54">
        <f t="shared" si="10"/>
        <v>0</v>
      </c>
      <c r="AB9" s="54" t="str">
        <f t="shared" si="11"/>
        <v/>
      </c>
      <c r="AC9" s="55" t="str">
        <f t="shared" ref="AC9:AD9" si="33">if(G9="yes",1,"")</f>
        <v/>
      </c>
      <c r="AD9" s="56" t="str">
        <f t="shared" si="33"/>
        <v/>
      </c>
      <c r="AE9" s="56" t="str">
        <f t="shared" si="13"/>
        <v/>
      </c>
      <c r="AF9" s="56" t="str">
        <f t="shared" si="14"/>
        <v/>
      </c>
      <c r="AG9" s="56" t="str">
        <f t="shared" si="15"/>
        <v/>
      </c>
      <c r="AH9" s="56" t="str">
        <f t="shared" si="16"/>
        <v/>
      </c>
      <c r="AI9" s="56" t="str">
        <f t="shared" si="17"/>
        <v/>
      </c>
      <c r="AJ9" s="56" t="str">
        <f t="shared" si="18"/>
        <v/>
      </c>
      <c r="AK9" s="56" t="str">
        <f t="shared" si="19"/>
        <v/>
      </c>
      <c r="AL9" s="56" t="str">
        <f t="shared" si="20"/>
        <v/>
      </c>
      <c r="AM9" s="56" t="str">
        <f t="shared" si="21"/>
        <v/>
      </c>
      <c r="AN9" s="56" t="str">
        <f t="shared" si="22"/>
        <v/>
      </c>
      <c r="AO9" s="56" t="str">
        <f t="shared" ref="AO9:AP9" si="34">if(N9="risk",-1,"")</f>
        <v/>
      </c>
      <c r="AP9" s="56" t="str">
        <f t="shared" si="34"/>
        <v/>
      </c>
      <c r="AQ9" s="56" t="str">
        <f t="shared" si="24"/>
        <v/>
      </c>
    </row>
    <row r="10">
      <c r="A10" s="40" t="s">
        <v>182</v>
      </c>
      <c r="B10" s="41">
        <f t="shared" si="3"/>
        <v>6</v>
      </c>
      <c r="C10" s="42" t="s">
        <v>67</v>
      </c>
      <c r="D10" s="43">
        <f>IFERROR(__xludf.DUMMYFUNCTION("GOOGLEFINANCE(A10,""price"")"),98.82)</f>
        <v>98.82</v>
      </c>
      <c r="E10" s="43">
        <f t="shared" si="4"/>
        <v>240</v>
      </c>
      <c r="F10" s="44">
        <f t="shared" si="5"/>
        <v>288</v>
      </c>
      <c r="G10" s="57" t="s">
        <v>163</v>
      </c>
      <c r="H10" s="16" t="s">
        <v>163</v>
      </c>
      <c r="I10" s="16" t="s">
        <v>164</v>
      </c>
      <c r="J10" s="16" t="s">
        <v>165</v>
      </c>
      <c r="K10" s="16" t="s">
        <v>173</v>
      </c>
      <c r="L10" s="16" t="s">
        <v>171</v>
      </c>
      <c r="M10" s="16" t="s">
        <v>163</v>
      </c>
      <c r="N10" s="61"/>
      <c r="O10" s="61"/>
      <c r="P10" s="62"/>
      <c r="Q10" s="57">
        <v>12.0</v>
      </c>
      <c r="R10" s="49">
        <v>20.0</v>
      </c>
      <c r="S10" s="59"/>
      <c r="T10" s="51">
        <v>0.05</v>
      </c>
      <c r="U10" s="60"/>
      <c r="V10" s="53">
        <v>0.8</v>
      </c>
      <c r="W10" s="54">
        <f t="shared" si="6"/>
        <v>240</v>
      </c>
      <c r="X10" s="54">
        <f t="shared" si="7"/>
        <v>288</v>
      </c>
      <c r="Y10" s="54">
        <f t="shared" si="8"/>
        <v>0</v>
      </c>
      <c r="Z10" s="54">
        <f t="shared" si="9"/>
        <v>0</v>
      </c>
      <c r="AA10" s="54">
        <f t="shared" si="10"/>
        <v>0</v>
      </c>
      <c r="AB10" s="54" t="str">
        <f t="shared" si="11"/>
        <v/>
      </c>
      <c r="AC10" s="55">
        <f t="shared" ref="AC10:AD10" si="35">if(G10="yes",1,"")</f>
        <v>1</v>
      </c>
      <c r="AD10" s="56">
        <f t="shared" si="35"/>
        <v>1</v>
      </c>
      <c r="AE10" s="56">
        <f t="shared" si="13"/>
        <v>1</v>
      </c>
      <c r="AF10" s="56">
        <f t="shared" si="14"/>
        <v>1</v>
      </c>
      <c r="AG10" s="56" t="str">
        <f t="shared" si="15"/>
        <v/>
      </c>
      <c r="AH10" s="56" t="str">
        <f t="shared" si="16"/>
        <v/>
      </c>
      <c r="AI10" s="56" t="str">
        <f t="shared" si="17"/>
        <v/>
      </c>
      <c r="AJ10" s="56" t="str">
        <f t="shared" si="18"/>
        <v/>
      </c>
      <c r="AK10" s="56" t="str">
        <f t="shared" si="19"/>
        <v/>
      </c>
      <c r="AL10" s="56">
        <f t="shared" si="20"/>
        <v>1</v>
      </c>
      <c r="AM10" s="56" t="str">
        <f t="shared" si="21"/>
        <v/>
      </c>
      <c r="AN10" s="56">
        <f t="shared" si="22"/>
        <v>1</v>
      </c>
      <c r="AO10" s="56" t="str">
        <f t="shared" ref="AO10:AP10" si="36">if(N10="risk",-1,"")</f>
        <v/>
      </c>
      <c r="AP10" s="56" t="str">
        <f t="shared" si="36"/>
        <v/>
      </c>
      <c r="AQ10" s="56" t="str">
        <f t="shared" si="24"/>
        <v/>
      </c>
    </row>
    <row r="11">
      <c r="A11" s="40" t="s">
        <v>183</v>
      </c>
      <c r="B11" s="41">
        <f t="shared" si="3"/>
        <v>4.5</v>
      </c>
      <c r="C11" s="42" t="s">
        <v>67</v>
      </c>
      <c r="D11" s="43">
        <f>IFERROR(__xludf.DUMMYFUNCTION("GOOGLEFINANCE(A11,""price"")"),119.72)</f>
        <v>119.72</v>
      </c>
      <c r="E11" s="43">
        <f t="shared" si="4"/>
        <v>43.3</v>
      </c>
      <c r="F11" s="44">
        <f t="shared" si="5"/>
        <v>51.96</v>
      </c>
      <c r="G11" s="57" t="s">
        <v>163</v>
      </c>
      <c r="H11" s="16" t="s">
        <v>163</v>
      </c>
      <c r="I11" s="16" t="s">
        <v>164</v>
      </c>
      <c r="J11" s="16" t="s">
        <v>165</v>
      </c>
      <c r="K11" s="16" t="s">
        <v>180</v>
      </c>
      <c r="L11" s="16" t="s">
        <v>167</v>
      </c>
      <c r="M11" s="16" t="s">
        <v>173</v>
      </c>
      <c r="N11" s="16" t="s">
        <v>168</v>
      </c>
      <c r="O11" s="16" t="s">
        <v>168</v>
      </c>
      <c r="P11" s="49" t="s">
        <v>169</v>
      </c>
      <c r="Q11" s="57">
        <v>4.33</v>
      </c>
      <c r="R11" s="65">
        <v>10.0</v>
      </c>
      <c r="S11" s="59"/>
      <c r="T11" s="51">
        <v>0.05</v>
      </c>
      <c r="U11" s="60"/>
      <c r="V11" s="53">
        <v>0.8</v>
      </c>
      <c r="W11" s="54">
        <f t="shared" si="6"/>
        <v>43.3</v>
      </c>
      <c r="X11" s="54">
        <f t="shared" si="7"/>
        <v>51.96</v>
      </c>
      <c r="Y11" s="54">
        <f t="shared" si="8"/>
        <v>0</v>
      </c>
      <c r="Z11" s="54">
        <f t="shared" si="9"/>
        <v>0</v>
      </c>
      <c r="AA11" s="54">
        <f t="shared" si="10"/>
        <v>0</v>
      </c>
      <c r="AB11" s="54" t="str">
        <f t="shared" si="11"/>
        <v/>
      </c>
      <c r="AC11" s="55">
        <f t="shared" ref="AC11:AD11" si="37">if(G11="yes",1,"")</f>
        <v>1</v>
      </c>
      <c r="AD11" s="56">
        <f t="shared" si="37"/>
        <v>1</v>
      </c>
      <c r="AE11" s="56">
        <f t="shared" si="13"/>
        <v>1</v>
      </c>
      <c r="AF11" s="56">
        <f t="shared" si="14"/>
        <v>1</v>
      </c>
      <c r="AG11" s="56" t="str">
        <f t="shared" si="15"/>
        <v/>
      </c>
      <c r="AH11" s="56" t="str">
        <f t="shared" si="16"/>
        <v/>
      </c>
      <c r="AI11" s="56" t="str">
        <f t="shared" si="17"/>
        <v/>
      </c>
      <c r="AJ11" s="56">
        <f t="shared" si="18"/>
        <v>2</v>
      </c>
      <c r="AK11" s="56" t="str">
        <f t="shared" si="19"/>
        <v/>
      </c>
      <c r="AL11" s="56" t="str">
        <f t="shared" si="20"/>
        <v/>
      </c>
      <c r="AM11" s="56">
        <f t="shared" si="21"/>
        <v>0.5</v>
      </c>
      <c r="AN11" s="56" t="str">
        <f t="shared" si="22"/>
        <v/>
      </c>
      <c r="AO11" s="56">
        <f t="shared" ref="AO11:AP11" si="38">if(N11="risk",-1,"")</f>
        <v>-1</v>
      </c>
      <c r="AP11" s="56">
        <f t="shared" si="38"/>
        <v>-1</v>
      </c>
      <c r="AQ11" s="56" t="str">
        <f t="shared" si="24"/>
        <v/>
      </c>
    </row>
    <row r="12">
      <c r="A12" s="40" t="s">
        <v>184</v>
      </c>
      <c r="B12" s="41">
        <f t="shared" si="3"/>
        <v>9</v>
      </c>
      <c r="C12" s="42" t="s">
        <v>67</v>
      </c>
      <c r="D12" s="43">
        <f>IFERROR(__xludf.DUMMYFUNCTION("GOOGLEFINANCE(A12,""price"")"),95.78)</f>
        <v>95.78</v>
      </c>
      <c r="E12" s="43">
        <f t="shared" si="4"/>
        <v>12.9</v>
      </c>
      <c r="F12" s="44">
        <f t="shared" si="5"/>
        <v>15.48</v>
      </c>
      <c r="G12" s="57" t="s">
        <v>163</v>
      </c>
      <c r="H12" s="16" t="s">
        <v>163</v>
      </c>
      <c r="I12" s="16" t="s">
        <v>164</v>
      </c>
      <c r="J12" s="16" t="s">
        <v>165</v>
      </c>
      <c r="K12" s="16" t="s">
        <v>178</v>
      </c>
      <c r="L12" s="16" t="s">
        <v>171</v>
      </c>
      <c r="M12" s="16" t="s">
        <v>173</v>
      </c>
      <c r="N12" s="16" t="s">
        <v>169</v>
      </c>
      <c r="O12" s="16" t="s">
        <v>169</v>
      </c>
      <c r="P12" s="49" t="s">
        <v>169</v>
      </c>
      <c r="Q12" s="57">
        <v>1.29</v>
      </c>
      <c r="R12" s="49">
        <v>10.0</v>
      </c>
      <c r="S12" s="59"/>
      <c r="T12" s="51">
        <v>0.05</v>
      </c>
      <c r="U12" s="60"/>
      <c r="V12" s="53">
        <v>0.8</v>
      </c>
      <c r="W12" s="54">
        <f t="shared" si="6"/>
        <v>12.9</v>
      </c>
      <c r="X12" s="54">
        <f t="shared" si="7"/>
        <v>15.48</v>
      </c>
      <c r="Y12" s="54">
        <f t="shared" si="8"/>
        <v>0</v>
      </c>
      <c r="Z12" s="54">
        <f t="shared" si="9"/>
        <v>0</v>
      </c>
      <c r="AA12" s="54">
        <f t="shared" si="10"/>
        <v>0</v>
      </c>
      <c r="AB12" s="54" t="str">
        <f t="shared" si="11"/>
        <v/>
      </c>
      <c r="AC12" s="55">
        <f t="shared" ref="AC12:AD12" si="39">if(G12="yes",1,"")</f>
        <v>1</v>
      </c>
      <c r="AD12" s="56">
        <f t="shared" si="39"/>
        <v>1</v>
      </c>
      <c r="AE12" s="56">
        <f t="shared" si="13"/>
        <v>1</v>
      </c>
      <c r="AF12" s="56">
        <f t="shared" si="14"/>
        <v>1</v>
      </c>
      <c r="AG12" s="56" t="str">
        <f t="shared" si="15"/>
        <v/>
      </c>
      <c r="AH12" s="56">
        <f t="shared" si="16"/>
        <v>4</v>
      </c>
      <c r="AI12" s="56" t="str">
        <f t="shared" si="17"/>
        <v/>
      </c>
      <c r="AJ12" s="56" t="str">
        <f t="shared" si="18"/>
        <v/>
      </c>
      <c r="AK12" s="56" t="str">
        <f t="shared" si="19"/>
        <v/>
      </c>
      <c r="AL12" s="56">
        <f t="shared" si="20"/>
        <v>1</v>
      </c>
      <c r="AM12" s="56" t="str">
        <f t="shared" si="21"/>
        <v/>
      </c>
      <c r="AN12" s="56" t="str">
        <f t="shared" si="22"/>
        <v/>
      </c>
      <c r="AO12" s="56" t="str">
        <f t="shared" ref="AO12:AP12" si="40">if(N12="risk",-1,"")</f>
        <v/>
      </c>
      <c r="AP12" s="56" t="str">
        <f t="shared" si="40"/>
        <v/>
      </c>
      <c r="AQ12" s="56" t="str">
        <f t="shared" si="24"/>
        <v/>
      </c>
    </row>
    <row r="13">
      <c r="A13" s="66" t="s">
        <v>185</v>
      </c>
      <c r="B13" s="67">
        <f t="shared" si="3"/>
        <v>8</v>
      </c>
      <c r="C13" s="68" t="s">
        <v>67</v>
      </c>
      <c r="D13" s="69">
        <f>IFERROR(__xludf.DUMMYFUNCTION("GOOGLEFINANCE(A13,""price"")"),372.29)</f>
        <v>372.29</v>
      </c>
      <c r="E13" s="69">
        <f t="shared" si="4"/>
        <v>96.8</v>
      </c>
      <c r="F13" s="70">
        <f t="shared" si="5"/>
        <v>116.16</v>
      </c>
      <c r="G13" s="71" t="s">
        <v>163</v>
      </c>
      <c r="H13" s="72" t="s">
        <v>163</v>
      </c>
      <c r="I13" s="72" t="s">
        <v>164</v>
      </c>
      <c r="J13" s="72" t="s">
        <v>165</v>
      </c>
      <c r="K13" s="72" t="s">
        <v>166</v>
      </c>
      <c r="L13" s="72" t="s">
        <v>171</v>
      </c>
      <c r="M13" s="72" t="s">
        <v>163</v>
      </c>
      <c r="N13" s="72" t="s">
        <v>169</v>
      </c>
      <c r="O13" s="72" t="s">
        <v>168</v>
      </c>
      <c r="P13" s="73" t="s">
        <v>169</v>
      </c>
      <c r="Q13" s="74">
        <v>9.68</v>
      </c>
      <c r="R13" s="73">
        <v>10.0</v>
      </c>
      <c r="S13" s="75">
        <v>2.0</v>
      </c>
      <c r="T13" s="76">
        <v>0.05</v>
      </c>
      <c r="U13" s="77">
        <v>5.96</v>
      </c>
      <c r="V13" s="78">
        <v>0.8</v>
      </c>
      <c r="W13" s="79">
        <f t="shared" si="6"/>
        <v>96.8</v>
      </c>
      <c r="X13" s="79">
        <f t="shared" si="7"/>
        <v>116.16</v>
      </c>
      <c r="Y13" s="79">
        <f t="shared" si="8"/>
        <v>40</v>
      </c>
      <c r="Z13" s="79">
        <f t="shared" si="9"/>
        <v>60</v>
      </c>
      <c r="AA13" s="79">
        <f t="shared" si="10"/>
        <v>4.768</v>
      </c>
      <c r="AB13" s="79">
        <f t="shared" si="11"/>
        <v>5.96</v>
      </c>
      <c r="AC13" s="80">
        <f t="shared" ref="AC13:AD13" si="41">if(G13="yes",1,"")</f>
        <v>1</v>
      </c>
      <c r="AD13" s="81">
        <f t="shared" si="41"/>
        <v>1</v>
      </c>
      <c r="AE13" s="81">
        <f t="shared" si="13"/>
        <v>1</v>
      </c>
      <c r="AF13" s="81">
        <f t="shared" si="14"/>
        <v>1</v>
      </c>
      <c r="AG13" s="81" t="str">
        <f t="shared" si="15"/>
        <v/>
      </c>
      <c r="AH13" s="81" t="str">
        <f t="shared" si="16"/>
        <v/>
      </c>
      <c r="AI13" s="81">
        <f t="shared" si="17"/>
        <v>3</v>
      </c>
      <c r="AJ13" s="81" t="str">
        <f t="shared" si="18"/>
        <v/>
      </c>
      <c r="AK13" s="81" t="str">
        <f t="shared" si="19"/>
        <v/>
      </c>
      <c r="AL13" s="81">
        <f t="shared" si="20"/>
        <v>1</v>
      </c>
      <c r="AM13" s="81" t="str">
        <f t="shared" si="21"/>
        <v/>
      </c>
      <c r="AN13" s="81">
        <f t="shared" si="22"/>
        <v>1</v>
      </c>
      <c r="AO13" s="81" t="str">
        <f t="shared" ref="AO13:AP13" si="42">if(N13="risk",-1,"")</f>
        <v/>
      </c>
      <c r="AP13" s="81">
        <f t="shared" si="42"/>
        <v>-1</v>
      </c>
      <c r="AQ13" s="81" t="str">
        <f t="shared" si="24"/>
        <v/>
      </c>
    </row>
    <row r="14">
      <c r="A14" s="40" t="s">
        <v>186</v>
      </c>
      <c r="B14" s="41">
        <f t="shared" si="3"/>
        <v>8</v>
      </c>
      <c r="C14" s="42" t="s">
        <v>67</v>
      </c>
      <c r="D14" s="43">
        <f>IFERROR(__xludf.DUMMYFUNCTION("GOOGLEFINANCE(A14,""price"")"),253.5)</f>
        <v>253.5</v>
      </c>
      <c r="E14" s="43">
        <f t="shared" si="4"/>
        <v>60</v>
      </c>
      <c r="F14" s="44">
        <f t="shared" si="5"/>
        <v>72</v>
      </c>
      <c r="G14" s="57" t="s">
        <v>163</v>
      </c>
      <c r="H14" s="16" t="s">
        <v>163</v>
      </c>
      <c r="I14" s="16" t="s">
        <v>164</v>
      </c>
      <c r="J14" s="16" t="s">
        <v>165</v>
      </c>
      <c r="K14" s="16" t="s">
        <v>178</v>
      </c>
      <c r="L14" s="16" t="s">
        <v>171</v>
      </c>
      <c r="M14" s="16" t="s">
        <v>163</v>
      </c>
      <c r="N14" s="16" t="s">
        <v>168</v>
      </c>
      <c r="O14" s="16" t="s">
        <v>168</v>
      </c>
      <c r="P14" s="49" t="s">
        <v>169</v>
      </c>
      <c r="Q14" s="65">
        <v>6.0</v>
      </c>
      <c r="R14" s="49">
        <v>10.0</v>
      </c>
      <c r="S14" s="50">
        <v>1.0</v>
      </c>
      <c r="T14" s="51">
        <v>0.05</v>
      </c>
      <c r="U14" s="60"/>
      <c r="V14" s="53">
        <v>0.8</v>
      </c>
      <c r="W14" s="54">
        <f t="shared" si="6"/>
        <v>60</v>
      </c>
      <c r="X14" s="54">
        <f t="shared" si="7"/>
        <v>72</v>
      </c>
      <c r="Y14" s="54">
        <f t="shared" si="8"/>
        <v>20</v>
      </c>
      <c r="Z14" s="54">
        <f t="shared" si="9"/>
        <v>30</v>
      </c>
      <c r="AA14" s="54">
        <f t="shared" si="10"/>
        <v>0</v>
      </c>
      <c r="AB14" s="54" t="str">
        <f t="shared" si="11"/>
        <v/>
      </c>
      <c r="AC14" s="55">
        <f t="shared" ref="AC14:AD14" si="43">if(G14="yes",1,"")</f>
        <v>1</v>
      </c>
      <c r="AD14" s="56">
        <f t="shared" si="43"/>
        <v>1</v>
      </c>
      <c r="AE14" s="56">
        <f t="shared" si="13"/>
        <v>1</v>
      </c>
      <c r="AF14" s="56">
        <f t="shared" si="14"/>
        <v>1</v>
      </c>
      <c r="AG14" s="56" t="str">
        <f t="shared" si="15"/>
        <v/>
      </c>
      <c r="AH14" s="56">
        <f t="shared" si="16"/>
        <v>4</v>
      </c>
      <c r="AI14" s="56" t="str">
        <f t="shared" si="17"/>
        <v/>
      </c>
      <c r="AJ14" s="56" t="str">
        <f t="shared" si="18"/>
        <v/>
      </c>
      <c r="AK14" s="56" t="str">
        <f t="shared" si="19"/>
        <v/>
      </c>
      <c r="AL14" s="56">
        <f t="shared" si="20"/>
        <v>1</v>
      </c>
      <c r="AM14" s="56" t="str">
        <f t="shared" si="21"/>
        <v/>
      </c>
      <c r="AN14" s="56">
        <f t="shared" si="22"/>
        <v>1</v>
      </c>
      <c r="AO14" s="56">
        <f t="shared" ref="AO14:AP14" si="44">if(N14="risk",-1,"")</f>
        <v>-1</v>
      </c>
      <c r="AP14" s="56">
        <f t="shared" si="44"/>
        <v>-1</v>
      </c>
      <c r="AQ14" s="56" t="str">
        <f t="shared" si="24"/>
        <v/>
      </c>
    </row>
    <row r="15">
      <c r="A15" s="40" t="s">
        <v>187</v>
      </c>
      <c r="B15" s="41">
        <f t="shared" si="3"/>
        <v>0</v>
      </c>
      <c r="C15" s="42" t="s">
        <v>67</v>
      </c>
      <c r="D15" s="43">
        <f>IFERROR(__xludf.DUMMYFUNCTION("GOOGLEFINANCE(A15,""price"")"),124.07)</f>
        <v>124.07</v>
      </c>
      <c r="E15" s="43">
        <f t="shared" si="4"/>
        <v>0</v>
      </c>
      <c r="F15" s="44">
        <f t="shared" si="5"/>
        <v>0</v>
      </c>
      <c r="G15" s="64"/>
      <c r="H15" s="61"/>
      <c r="I15" s="61"/>
      <c r="J15" s="61"/>
      <c r="K15" s="61"/>
      <c r="L15" s="61"/>
      <c r="M15" s="61"/>
      <c r="N15" s="61"/>
      <c r="O15" s="61"/>
      <c r="P15" s="62"/>
      <c r="Q15" s="63"/>
      <c r="R15" s="62"/>
      <c r="S15" s="59"/>
      <c r="T15" s="51">
        <v>0.05</v>
      </c>
      <c r="U15" s="60"/>
      <c r="V15" s="53">
        <v>0.8</v>
      </c>
      <c r="W15" s="54">
        <f t="shared" si="6"/>
        <v>0</v>
      </c>
      <c r="X15" s="54">
        <f t="shared" si="7"/>
        <v>0</v>
      </c>
      <c r="Y15" s="54">
        <f t="shared" si="8"/>
        <v>0</v>
      </c>
      <c r="Z15" s="54">
        <f t="shared" si="9"/>
        <v>0</v>
      </c>
      <c r="AA15" s="54">
        <f t="shared" si="10"/>
        <v>0</v>
      </c>
      <c r="AB15" s="54" t="str">
        <f t="shared" si="11"/>
        <v/>
      </c>
      <c r="AC15" s="55" t="str">
        <f t="shared" ref="AC15:AD15" si="45">if(G15="yes",1,"")</f>
        <v/>
      </c>
      <c r="AD15" s="56" t="str">
        <f t="shared" si="45"/>
        <v/>
      </c>
      <c r="AE15" s="56" t="str">
        <f t="shared" si="13"/>
        <v/>
      </c>
      <c r="AF15" s="56" t="str">
        <f t="shared" si="14"/>
        <v/>
      </c>
      <c r="AG15" s="56" t="str">
        <f t="shared" si="15"/>
        <v/>
      </c>
      <c r="AH15" s="56" t="str">
        <f t="shared" si="16"/>
        <v/>
      </c>
      <c r="AI15" s="56" t="str">
        <f t="shared" si="17"/>
        <v/>
      </c>
      <c r="AJ15" s="56" t="str">
        <f t="shared" si="18"/>
        <v/>
      </c>
      <c r="AK15" s="56" t="str">
        <f t="shared" si="19"/>
        <v/>
      </c>
      <c r="AL15" s="56" t="str">
        <f t="shared" si="20"/>
        <v/>
      </c>
      <c r="AM15" s="56" t="str">
        <f t="shared" si="21"/>
        <v/>
      </c>
      <c r="AN15" s="56" t="str">
        <f t="shared" si="22"/>
        <v/>
      </c>
      <c r="AO15" s="56" t="str">
        <f t="shared" ref="AO15:AP15" si="46">if(N15="risk",-1,"")</f>
        <v/>
      </c>
      <c r="AP15" s="56" t="str">
        <f t="shared" si="46"/>
        <v/>
      </c>
      <c r="AQ15" s="56" t="str">
        <f t="shared" si="24"/>
        <v/>
      </c>
    </row>
    <row r="16">
      <c r="A16" s="40" t="s">
        <v>188</v>
      </c>
      <c r="B16" s="41">
        <f t="shared" si="3"/>
        <v>7</v>
      </c>
      <c r="C16" s="42" t="s">
        <v>67</v>
      </c>
      <c r="D16" s="43">
        <f>IFERROR(__xludf.DUMMYFUNCTION("GOOGLEFINANCE(A16,""price"")"),178.1)</f>
        <v>178.1</v>
      </c>
      <c r="E16" s="43">
        <f t="shared" si="4"/>
        <v>88.2</v>
      </c>
      <c r="F16" s="44">
        <f t="shared" si="5"/>
        <v>105.84</v>
      </c>
      <c r="G16" s="57" t="s">
        <v>163</v>
      </c>
      <c r="H16" s="16" t="s">
        <v>163</v>
      </c>
      <c r="I16" s="16" t="s">
        <v>164</v>
      </c>
      <c r="J16" s="16" t="s">
        <v>165</v>
      </c>
      <c r="K16" s="16" t="s">
        <v>178</v>
      </c>
      <c r="L16" s="16" t="s">
        <v>171</v>
      </c>
      <c r="M16" s="16" t="s">
        <v>163</v>
      </c>
      <c r="N16" s="16" t="s">
        <v>168</v>
      </c>
      <c r="O16" s="16" t="s">
        <v>168</v>
      </c>
      <c r="P16" s="49" t="s">
        <v>189</v>
      </c>
      <c r="Q16" s="57">
        <v>2.94</v>
      </c>
      <c r="R16" s="49">
        <v>30.0</v>
      </c>
      <c r="S16" s="50">
        <v>0.034</v>
      </c>
      <c r="T16" s="51">
        <v>0.05</v>
      </c>
      <c r="U16" s="60"/>
      <c r="V16" s="53">
        <v>0.8</v>
      </c>
      <c r="W16" s="54">
        <f t="shared" si="6"/>
        <v>88.2</v>
      </c>
      <c r="X16" s="54">
        <f t="shared" si="7"/>
        <v>105.84</v>
      </c>
      <c r="Y16" s="54">
        <f t="shared" si="8"/>
        <v>0.68</v>
      </c>
      <c r="Z16" s="54">
        <f t="shared" si="9"/>
        <v>1.02</v>
      </c>
      <c r="AA16" s="54">
        <f t="shared" si="10"/>
        <v>0</v>
      </c>
      <c r="AB16" s="54" t="str">
        <f t="shared" si="11"/>
        <v/>
      </c>
      <c r="AC16" s="55">
        <f t="shared" ref="AC16:AD16" si="47">if(G16="yes",1,"")</f>
        <v>1</v>
      </c>
      <c r="AD16" s="56">
        <f t="shared" si="47"/>
        <v>1</v>
      </c>
      <c r="AE16" s="56">
        <f t="shared" si="13"/>
        <v>1</v>
      </c>
      <c r="AF16" s="56">
        <f t="shared" si="14"/>
        <v>1</v>
      </c>
      <c r="AG16" s="56" t="str">
        <f t="shared" si="15"/>
        <v/>
      </c>
      <c r="AH16" s="56">
        <f t="shared" si="16"/>
        <v>4</v>
      </c>
      <c r="AI16" s="56" t="str">
        <f t="shared" si="17"/>
        <v/>
      </c>
      <c r="AJ16" s="56" t="str">
        <f t="shared" si="18"/>
        <v/>
      </c>
      <c r="AK16" s="56" t="str">
        <f t="shared" si="19"/>
        <v/>
      </c>
      <c r="AL16" s="56">
        <f t="shared" si="20"/>
        <v>1</v>
      </c>
      <c r="AM16" s="56" t="str">
        <f t="shared" si="21"/>
        <v/>
      </c>
      <c r="AN16" s="56">
        <f t="shared" si="22"/>
        <v>1</v>
      </c>
      <c r="AO16" s="56">
        <f t="shared" ref="AO16:AP16" si="48">if(N16="risk",-1,"")</f>
        <v>-1</v>
      </c>
      <c r="AP16" s="56">
        <f t="shared" si="48"/>
        <v>-1</v>
      </c>
      <c r="AQ16" s="56">
        <f t="shared" si="24"/>
        <v>-1</v>
      </c>
    </row>
    <row r="17">
      <c r="A17" s="40" t="s">
        <v>190</v>
      </c>
      <c r="B17" s="41">
        <f t="shared" si="3"/>
        <v>0</v>
      </c>
      <c r="C17" s="42" t="s">
        <v>67</v>
      </c>
      <c r="D17" s="43">
        <f>IFERROR(__xludf.DUMMYFUNCTION("GOOGLEFINANCE(A17,""price"")"),303.93)</f>
        <v>303.93</v>
      </c>
      <c r="E17" s="43">
        <f t="shared" si="4"/>
        <v>0</v>
      </c>
      <c r="F17" s="44">
        <f t="shared" si="5"/>
        <v>0</v>
      </c>
      <c r="G17" s="64"/>
      <c r="H17" s="61"/>
      <c r="I17" s="61"/>
      <c r="J17" s="61"/>
      <c r="K17" s="61"/>
      <c r="L17" s="61"/>
      <c r="M17" s="61"/>
      <c r="N17" s="61"/>
      <c r="O17" s="61"/>
      <c r="P17" s="62"/>
      <c r="Q17" s="63"/>
      <c r="R17" s="62"/>
      <c r="S17" s="59"/>
      <c r="T17" s="51">
        <v>0.05</v>
      </c>
      <c r="U17" s="60"/>
      <c r="V17" s="53">
        <v>0.8</v>
      </c>
      <c r="W17" s="54">
        <f t="shared" si="6"/>
        <v>0</v>
      </c>
      <c r="X17" s="54">
        <f t="shared" si="7"/>
        <v>0</v>
      </c>
      <c r="Y17" s="54">
        <f t="shared" si="8"/>
        <v>0</v>
      </c>
      <c r="Z17" s="54">
        <f t="shared" si="9"/>
        <v>0</v>
      </c>
      <c r="AA17" s="54">
        <f t="shared" si="10"/>
        <v>0</v>
      </c>
      <c r="AB17" s="54" t="str">
        <f t="shared" si="11"/>
        <v/>
      </c>
      <c r="AC17" s="55" t="str">
        <f t="shared" ref="AC17:AD17" si="49">if(G17="yes",1,"")</f>
        <v/>
      </c>
      <c r="AD17" s="56" t="str">
        <f t="shared" si="49"/>
        <v/>
      </c>
      <c r="AE17" s="56" t="str">
        <f t="shared" si="13"/>
        <v/>
      </c>
      <c r="AF17" s="56" t="str">
        <f t="shared" si="14"/>
        <v/>
      </c>
      <c r="AG17" s="56" t="str">
        <f t="shared" si="15"/>
        <v/>
      </c>
      <c r="AH17" s="56" t="str">
        <f t="shared" si="16"/>
        <v/>
      </c>
      <c r="AI17" s="56" t="str">
        <f t="shared" si="17"/>
        <v/>
      </c>
      <c r="AJ17" s="56" t="str">
        <f t="shared" si="18"/>
        <v/>
      </c>
      <c r="AK17" s="56" t="str">
        <f t="shared" si="19"/>
        <v/>
      </c>
      <c r="AL17" s="56" t="str">
        <f t="shared" si="20"/>
        <v/>
      </c>
      <c r="AM17" s="56" t="str">
        <f t="shared" si="21"/>
        <v/>
      </c>
      <c r="AN17" s="56" t="str">
        <f t="shared" si="22"/>
        <v/>
      </c>
      <c r="AO17" s="56" t="str">
        <f t="shared" ref="AO17:AP17" si="50">if(N17="risk",-1,"")</f>
        <v/>
      </c>
      <c r="AP17" s="56" t="str">
        <f t="shared" si="50"/>
        <v/>
      </c>
      <c r="AQ17" s="56" t="str">
        <f t="shared" si="24"/>
        <v/>
      </c>
    </row>
    <row r="18">
      <c r="A18" s="40" t="s">
        <v>191</v>
      </c>
      <c r="B18" s="41">
        <f t="shared" si="3"/>
        <v>0</v>
      </c>
      <c r="C18" s="42" t="s">
        <v>67</v>
      </c>
      <c r="D18" s="43">
        <f>IFERROR(__xludf.DUMMYFUNCTION("GOOGLEFINANCE(A18,""price"")"),240.14)</f>
        <v>240.14</v>
      </c>
      <c r="E18" s="43">
        <f t="shared" si="4"/>
        <v>0</v>
      </c>
      <c r="F18" s="44">
        <f t="shared" si="5"/>
        <v>0</v>
      </c>
      <c r="G18" s="64"/>
      <c r="H18" s="61"/>
      <c r="I18" s="61"/>
      <c r="J18" s="61"/>
      <c r="K18" s="61"/>
      <c r="L18" s="61"/>
      <c r="M18" s="61"/>
      <c r="N18" s="61"/>
      <c r="O18" s="61"/>
      <c r="P18" s="62"/>
      <c r="Q18" s="63"/>
      <c r="R18" s="62"/>
      <c r="S18" s="59"/>
      <c r="T18" s="51">
        <v>0.05</v>
      </c>
      <c r="U18" s="60"/>
      <c r="V18" s="53">
        <v>0.8</v>
      </c>
      <c r="W18" s="54">
        <f t="shared" si="6"/>
        <v>0</v>
      </c>
      <c r="X18" s="54">
        <f t="shared" si="7"/>
        <v>0</v>
      </c>
      <c r="Y18" s="54">
        <f t="shared" si="8"/>
        <v>0</v>
      </c>
      <c r="Z18" s="54">
        <f t="shared" si="9"/>
        <v>0</v>
      </c>
      <c r="AA18" s="54">
        <f t="shared" si="10"/>
        <v>0</v>
      </c>
      <c r="AB18" s="54" t="str">
        <f t="shared" si="11"/>
        <v/>
      </c>
      <c r="AC18" s="55" t="str">
        <f t="shared" ref="AC18:AD18" si="51">if(G18="yes",1,"")</f>
        <v/>
      </c>
      <c r="AD18" s="56" t="str">
        <f t="shared" si="51"/>
        <v/>
      </c>
      <c r="AE18" s="56" t="str">
        <f t="shared" si="13"/>
        <v/>
      </c>
      <c r="AF18" s="56" t="str">
        <f t="shared" si="14"/>
        <v/>
      </c>
      <c r="AG18" s="56" t="str">
        <f t="shared" si="15"/>
        <v/>
      </c>
      <c r="AH18" s="56" t="str">
        <f t="shared" si="16"/>
        <v/>
      </c>
      <c r="AI18" s="56" t="str">
        <f t="shared" si="17"/>
        <v/>
      </c>
      <c r="AJ18" s="56" t="str">
        <f t="shared" si="18"/>
        <v/>
      </c>
      <c r="AK18" s="56" t="str">
        <f t="shared" si="19"/>
        <v/>
      </c>
      <c r="AL18" s="56" t="str">
        <f t="shared" si="20"/>
        <v/>
      </c>
      <c r="AM18" s="56" t="str">
        <f t="shared" si="21"/>
        <v/>
      </c>
      <c r="AN18" s="56" t="str">
        <f t="shared" si="22"/>
        <v/>
      </c>
      <c r="AO18" s="56" t="str">
        <f t="shared" ref="AO18:AP18" si="52">if(N18="risk",-1,"")</f>
        <v/>
      </c>
      <c r="AP18" s="56" t="str">
        <f t="shared" si="52"/>
        <v/>
      </c>
      <c r="AQ18" s="56" t="str">
        <f t="shared" si="24"/>
        <v/>
      </c>
    </row>
    <row r="19">
      <c r="A19" s="40" t="s">
        <v>192</v>
      </c>
      <c r="B19" s="41">
        <f t="shared" si="3"/>
        <v>8.5</v>
      </c>
      <c r="C19" s="42" t="s">
        <v>126</v>
      </c>
      <c r="D19" s="43">
        <f>IFERROR(__xludf.DUMMYFUNCTION("GOOGLEFINANCE(A19,""price"")"),75.91)</f>
        <v>75.91</v>
      </c>
      <c r="E19" s="43">
        <f t="shared" si="4"/>
        <v>64.2384106</v>
      </c>
      <c r="F19" s="44">
        <f t="shared" si="5"/>
        <v>96.35761589</v>
      </c>
      <c r="G19" s="57" t="s">
        <v>163</v>
      </c>
      <c r="H19" s="16" t="s">
        <v>163</v>
      </c>
      <c r="I19" s="16" t="s">
        <v>164</v>
      </c>
      <c r="J19" s="16" t="s">
        <v>174</v>
      </c>
      <c r="K19" s="16" t="s">
        <v>178</v>
      </c>
      <c r="L19" s="16" t="s">
        <v>171</v>
      </c>
      <c r="M19" s="16" t="s">
        <v>163</v>
      </c>
      <c r="N19" s="16" t="s">
        <v>168</v>
      </c>
      <c r="O19" s="16" t="s">
        <v>169</v>
      </c>
      <c r="P19" s="49" t="s">
        <v>169</v>
      </c>
      <c r="Q19" s="57">
        <v>2.47</v>
      </c>
      <c r="R19" s="49">
        <v>12.79</v>
      </c>
      <c r="S19" s="50">
        <v>1.94</v>
      </c>
      <c r="T19" s="51">
        <v>0.0302</v>
      </c>
      <c r="U19" s="60"/>
      <c r="V19" s="53">
        <v>0.8</v>
      </c>
      <c r="W19" s="54">
        <f t="shared" si="6"/>
        <v>31.5913</v>
      </c>
      <c r="X19" s="54">
        <f t="shared" si="7"/>
        <v>37.90956</v>
      </c>
      <c r="Y19" s="54">
        <f t="shared" si="8"/>
        <v>64.2384106</v>
      </c>
      <c r="Z19" s="54">
        <f t="shared" si="9"/>
        <v>96.35761589</v>
      </c>
      <c r="AA19" s="54">
        <f t="shared" si="10"/>
        <v>0</v>
      </c>
      <c r="AB19" s="54" t="str">
        <f t="shared" si="11"/>
        <v/>
      </c>
      <c r="AC19" s="55">
        <f t="shared" ref="AC19:AD19" si="53">if(G19="yes",1,"")</f>
        <v>1</v>
      </c>
      <c r="AD19" s="56">
        <f t="shared" si="53"/>
        <v>1</v>
      </c>
      <c r="AE19" s="56">
        <f t="shared" si="13"/>
        <v>1</v>
      </c>
      <c r="AF19" s="56" t="str">
        <f t="shared" si="14"/>
        <v/>
      </c>
      <c r="AG19" s="56">
        <f t="shared" si="15"/>
        <v>0.5</v>
      </c>
      <c r="AH19" s="56">
        <f t="shared" si="16"/>
        <v>4</v>
      </c>
      <c r="AI19" s="56" t="str">
        <f t="shared" si="17"/>
        <v/>
      </c>
      <c r="AJ19" s="56" t="str">
        <f t="shared" si="18"/>
        <v/>
      </c>
      <c r="AK19" s="56" t="str">
        <f t="shared" si="19"/>
        <v/>
      </c>
      <c r="AL19" s="56">
        <f t="shared" si="20"/>
        <v>1</v>
      </c>
      <c r="AM19" s="56" t="str">
        <f t="shared" si="21"/>
        <v/>
      </c>
      <c r="AN19" s="56">
        <f t="shared" si="22"/>
        <v>1</v>
      </c>
      <c r="AO19" s="56">
        <f t="shared" ref="AO19:AP19" si="54">if(N19="risk",-1,"")</f>
        <v>-1</v>
      </c>
      <c r="AP19" s="56" t="str">
        <f t="shared" si="54"/>
        <v/>
      </c>
      <c r="AQ19" s="56" t="str">
        <f t="shared" si="24"/>
        <v/>
      </c>
    </row>
    <row r="20">
      <c r="A20" s="82"/>
      <c r="B20" s="41">
        <f t="shared" si="3"/>
        <v>0</v>
      </c>
      <c r="C20" s="83"/>
      <c r="D20" s="43" t="str">
        <f>IFERROR(__xludf.DUMMYFUNCTION("GOOGLEFINANCE(A20,""price"")"),"#N/A")</f>
        <v>#N/A</v>
      </c>
      <c r="E20" s="43" t="str">
        <f t="shared" si="4"/>
        <v/>
      </c>
      <c r="F20" s="44" t="str">
        <f t="shared" si="5"/>
        <v/>
      </c>
      <c r="G20" s="64"/>
      <c r="H20" s="61"/>
      <c r="I20" s="61"/>
      <c r="J20" s="61"/>
      <c r="K20" s="61"/>
      <c r="L20" s="61"/>
      <c r="M20" s="61"/>
      <c r="N20" s="61"/>
      <c r="O20" s="61"/>
      <c r="P20" s="62"/>
      <c r="Q20" s="64"/>
      <c r="R20" s="62"/>
      <c r="S20" s="59"/>
      <c r="T20" s="51">
        <v>0.05</v>
      </c>
      <c r="U20" s="60"/>
      <c r="V20" s="53">
        <v>0.8</v>
      </c>
      <c r="W20" s="54">
        <f t="shared" si="6"/>
        <v>0</v>
      </c>
      <c r="X20" s="54">
        <f t="shared" si="7"/>
        <v>0</v>
      </c>
      <c r="Y20" s="54">
        <f t="shared" si="8"/>
        <v>0</v>
      </c>
      <c r="Z20" s="54">
        <f t="shared" si="9"/>
        <v>0</v>
      </c>
      <c r="AA20" s="54">
        <f t="shared" si="10"/>
        <v>0</v>
      </c>
      <c r="AB20" s="54" t="str">
        <f t="shared" si="11"/>
        <v/>
      </c>
      <c r="AC20" s="55" t="str">
        <f t="shared" ref="AC20:AD20" si="55">if(G20="yes",1,"")</f>
        <v/>
      </c>
      <c r="AD20" s="56" t="str">
        <f t="shared" si="55"/>
        <v/>
      </c>
      <c r="AE20" s="56" t="str">
        <f t="shared" si="13"/>
        <v/>
      </c>
      <c r="AF20" s="56" t="str">
        <f t="shared" si="14"/>
        <v/>
      </c>
      <c r="AG20" s="56" t="str">
        <f t="shared" si="15"/>
        <v/>
      </c>
      <c r="AH20" s="56" t="str">
        <f t="shared" si="16"/>
        <v/>
      </c>
      <c r="AI20" s="56" t="str">
        <f t="shared" si="17"/>
        <v/>
      </c>
      <c r="AJ20" s="56" t="str">
        <f t="shared" si="18"/>
        <v/>
      </c>
      <c r="AK20" s="56" t="str">
        <f t="shared" si="19"/>
        <v/>
      </c>
      <c r="AL20" s="56" t="str">
        <f t="shared" si="20"/>
        <v/>
      </c>
      <c r="AM20" s="56" t="str">
        <f t="shared" si="21"/>
        <v/>
      </c>
      <c r="AN20" s="56" t="str">
        <f t="shared" si="22"/>
        <v/>
      </c>
      <c r="AO20" s="56" t="str">
        <f t="shared" ref="AO20:AP20" si="56">if(N20="risk",-1,"")</f>
        <v/>
      </c>
      <c r="AP20" s="56" t="str">
        <f t="shared" si="56"/>
        <v/>
      </c>
      <c r="AQ20" s="56" t="str">
        <f t="shared" si="24"/>
        <v/>
      </c>
    </row>
    <row r="21">
      <c r="A21" s="82"/>
      <c r="B21" s="41">
        <f t="shared" si="3"/>
        <v>0</v>
      </c>
      <c r="C21" s="83"/>
      <c r="D21" s="43" t="str">
        <f>IFERROR(__xludf.DUMMYFUNCTION("GOOGLEFINANCE(A21,""price"")"),"#N/A")</f>
        <v>#N/A</v>
      </c>
      <c r="E21" s="43" t="str">
        <f t="shared" si="4"/>
        <v/>
      </c>
      <c r="F21" s="44" t="str">
        <f t="shared" si="5"/>
        <v/>
      </c>
      <c r="G21" s="64"/>
      <c r="H21" s="61"/>
      <c r="I21" s="61"/>
      <c r="J21" s="61"/>
      <c r="K21" s="61"/>
      <c r="L21" s="61"/>
      <c r="M21" s="61"/>
      <c r="N21" s="61"/>
      <c r="O21" s="61"/>
      <c r="P21" s="62"/>
      <c r="Q21" s="64"/>
      <c r="R21" s="62"/>
      <c r="S21" s="59"/>
      <c r="T21" s="51">
        <v>0.05</v>
      </c>
      <c r="U21" s="60"/>
      <c r="V21" s="53">
        <v>0.8</v>
      </c>
      <c r="W21" s="54">
        <f t="shared" si="6"/>
        <v>0</v>
      </c>
      <c r="X21" s="54">
        <f t="shared" si="7"/>
        <v>0</v>
      </c>
      <c r="Y21" s="54">
        <f t="shared" si="8"/>
        <v>0</v>
      </c>
      <c r="Z21" s="54">
        <f t="shared" si="9"/>
        <v>0</v>
      </c>
      <c r="AA21" s="54">
        <f t="shared" si="10"/>
        <v>0</v>
      </c>
      <c r="AB21" s="54" t="str">
        <f t="shared" si="11"/>
        <v/>
      </c>
      <c r="AC21" s="55" t="str">
        <f t="shared" ref="AC21:AD21" si="57">if(G21="yes",1,"")</f>
        <v/>
      </c>
      <c r="AD21" s="56" t="str">
        <f t="shared" si="57"/>
        <v/>
      </c>
      <c r="AE21" s="56" t="str">
        <f t="shared" si="13"/>
        <v/>
      </c>
      <c r="AF21" s="56" t="str">
        <f t="shared" si="14"/>
        <v/>
      </c>
      <c r="AG21" s="56" t="str">
        <f t="shared" si="15"/>
        <v/>
      </c>
      <c r="AH21" s="56" t="str">
        <f t="shared" si="16"/>
        <v/>
      </c>
      <c r="AI21" s="56" t="str">
        <f t="shared" si="17"/>
        <v/>
      </c>
      <c r="AJ21" s="56" t="str">
        <f t="shared" si="18"/>
        <v/>
      </c>
      <c r="AK21" s="56" t="str">
        <f t="shared" si="19"/>
        <v/>
      </c>
      <c r="AL21" s="56" t="str">
        <f t="shared" si="20"/>
        <v/>
      </c>
      <c r="AM21" s="56" t="str">
        <f t="shared" si="21"/>
        <v/>
      </c>
      <c r="AN21" s="56" t="str">
        <f t="shared" si="22"/>
        <v/>
      </c>
      <c r="AO21" s="56" t="str">
        <f t="shared" ref="AO21:AP21" si="58">if(N21="risk",-1,"")</f>
        <v/>
      </c>
      <c r="AP21" s="56" t="str">
        <f t="shared" si="58"/>
        <v/>
      </c>
      <c r="AQ21" s="56" t="str">
        <f t="shared" si="24"/>
        <v/>
      </c>
    </row>
    <row r="22">
      <c r="A22" s="82"/>
      <c r="B22" s="41">
        <f t="shared" si="3"/>
        <v>0</v>
      </c>
      <c r="C22" s="83"/>
      <c r="D22" s="43" t="str">
        <f>IFERROR(__xludf.DUMMYFUNCTION("GOOGLEFINANCE(A22,""price"")"),"#N/A")</f>
        <v>#N/A</v>
      </c>
      <c r="E22" s="43" t="str">
        <f t="shared" si="4"/>
        <v/>
      </c>
      <c r="F22" s="44" t="str">
        <f t="shared" si="5"/>
        <v/>
      </c>
      <c r="G22" s="64"/>
      <c r="H22" s="61"/>
      <c r="I22" s="61"/>
      <c r="J22" s="61"/>
      <c r="K22" s="61"/>
      <c r="L22" s="61"/>
      <c r="M22" s="61"/>
      <c r="N22" s="61"/>
      <c r="O22" s="61"/>
      <c r="P22" s="62"/>
      <c r="Q22" s="64"/>
      <c r="R22" s="62"/>
      <c r="S22" s="59"/>
      <c r="T22" s="51">
        <v>0.05</v>
      </c>
      <c r="U22" s="60"/>
      <c r="V22" s="53">
        <v>0.8</v>
      </c>
      <c r="W22" s="54">
        <f t="shared" si="6"/>
        <v>0</v>
      </c>
      <c r="X22" s="54">
        <f t="shared" si="7"/>
        <v>0</v>
      </c>
      <c r="Y22" s="54">
        <f t="shared" si="8"/>
        <v>0</v>
      </c>
      <c r="Z22" s="54">
        <f t="shared" si="9"/>
        <v>0</v>
      </c>
      <c r="AA22" s="54">
        <f t="shared" si="10"/>
        <v>0</v>
      </c>
      <c r="AB22" s="54" t="str">
        <f t="shared" si="11"/>
        <v/>
      </c>
      <c r="AC22" s="55" t="str">
        <f t="shared" ref="AC22:AD22" si="59">if(G22="yes",1,"")</f>
        <v/>
      </c>
      <c r="AD22" s="56" t="str">
        <f t="shared" si="59"/>
        <v/>
      </c>
      <c r="AE22" s="56" t="str">
        <f t="shared" si="13"/>
        <v/>
      </c>
      <c r="AF22" s="56" t="str">
        <f t="shared" si="14"/>
        <v/>
      </c>
      <c r="AG22" s="56" t="str">
        <f t="shared" si="15"/>
        <v/>
      </c>
      <c r="AH22" s="56" t="str">
        <f t="shared" si="16"/>
        <v/>
      </c>
      <c r="AI22" s="56" t="str">
        <f t="shared" si="17"/>
        <v/>
      </c>
      <c r="AJ22" s="56" t="str">
        <f t="shared" si="18"/>
        <v/>
      </c>
      <c r="AK22" s="56" t="str">
        <f t="shared" si="19"/>
        <v/>
      </c>
      <c r="AL22" s="56" t="str">
        <f t="shared" si="20"/>
        <v/>
      </c>
      <c r="AM22" s="56" t="str">
        <f t="shared" si="21"/>
        <v/>
      </c>
      <c r="AN22" s="56" t="str">
        <f t="shared" si="22"/>
        <v/>
      </c>
      <c r="AO22" s="56" t="str">
        <f t="shared" ref="AO22:AP22" si="60">if(N22="risk",-1,"")</f>
        <v/>
      </c>
      <c r="AP22" s="56" t="str">
        <f t="shared" si="60"/>
        <v/>
      </c>
      <c r="AQ22" s="56" t="str">
        <f t="shared" si="24"/>
        <v/>
      </c>
    </row>
    <row r="23">
      <c r="A23" s="82"/>
      <c r="B23" s="41">
        <f t="shared" si="3"/>
        <v>0</v>
      </c>
      <c r="C23" s="83"/>
      <c r="D23" s="43" t="str">
        <f>IFERROR(__xludf.DUMMYFUNCTION("GOOGLEFINANCE(A23,""price"")"),"#N/A")</f>
        <v>#N/A</v>
      </c>
      <c r="E23" s="43" t="str">
        <f t="shared" si="4"/>
        <v/>
      </c>
      <c r="F23" s="44" t="str">
        <f t="shared" si="5"/>
        <v/>
      </c>
      <c r="G23" s="64"/>
      <c r="H23" s="61"/>
      <c r="I23" s="61"/>
      <c r="J23" s="61"/>
      <c r="K23" s="61"/>
      <c r="L23" s="61"/>
      <c r="M23" s="61"/>
      <c r="N23" s="61"/>
      <c r="O23" s="61"/>
      <c r="P23" s="62"/>
      <c r="Q23" s="64"/>
      <c r="R23" s="62"/>
      <c r="S23" s="59"/>
      <c r="T23" s="51">
        <v>0.05</v>
      </c>
      <c r="U23" s="60"/>
      <c r="V23" s="53">
        <v>0.8</v>
      </c>
      <c r="W23" s="54">
        <f t="shared" si="6"/>
        <v>0</v>
      </c>
      <c r="X23" s="54">
        <f t="shared" si="7"/>
        <v>0</v>
      </c>
      <c r="Y23" s="54">
        <f t="shared" si="8"/>
        <v>0</v>
      </c>
      <c r="Z23" s="54">
        <f t="shared" si="9"/>
        <v>0</v>
      </c>
      <c r="AA23" s="54">
        <f t="shared" si="10"/>
        <v>0</v>
      </c>
      <c r="AB23" s="54" t="str">
        <f t="shared" si="11"/>
        <v/>
      </c>
      <c r="AC23" s="55" t="str">
        <f t="shared" ref="AC23:AD23" si="61">if(G23="yes",1,"")</f>
        <v/>
      </c>
      <c r="AD23" s="56" t="str">
        <f t="shared" si="61"/>
        <v/>
      </c>
      <c r="AE23" s="56" t="str">
        <f t="shared" si="13"/>
        <v/>
      </c>
      <c r="AF23" s="56" t="str">
        <f t="shared" si="14"/>
        <v/>
      </c>
      <c r="AG23" s="56" t="str">
        <f t="shared" si="15"/>
        <v/>
      </c>
      <c r="AH23" s="56" t="str">
        <f t="shared" si="16"/>
        <v/>
      </c>
      <c r="AI23" s="56" t="str">
        <f t="shared" si="17"/>
        <v/>
      </c>
      <c r="AJ23" s="56" t="str">
        <f t="shared" si="18"/>
        <v/>
      </c>
      <c r="AK23" s="56" t="str">
        <f t="shared" si="19"/>
        <v/>
      </c>
      <c r="AL23" s="56" t="str">
        <f t="shared" si="20"/>
        <v/>
      </c>
      <c r="AM23" s="56" t="str">
        <f t="shared" si="21"/>
        <v/>
      </c>
      <c r="AN23" s="56" t="str">
        <f t="shared" si="22"/>
        <v/>
      </c>
      <c r="AO23" s="56" t="str">
        <f t="shared" ref="AO23:AP23" si="62">if(N23="risk",-1,"")</f>
        <v/>
      </c>
      <c r="AP23" s="56" t="str">
        <f t="shared" si="62"/>
        <v/>
      </c>
      <c r="AQ23" s="56" t="str">
        <f t="shared" si="24"/>
        <v/>
      </c>
    </row>
    <row r="24">
      <c r="A24" s="82"/>
      <c r="B24" s="41">
        <f t="shared" si="3"/>
        <v>0</v>
      </c>
      <c r="C24" s="83"/>
      <c r="D24" s="43" t="str">
        <f>IFERROR(__xludf.DUMMYFUNCTION("GOOGLEFINANCE(A24,""price"")"),"#N/A")</f>
        <v>#N/A</v>
      </c>
      <c r="E24" s="43" t="str">
        <f t="shared" si="4"/>
        <v/>
      </c>
      <c r="F24" s="44" t="str">
        <f t="shared" si="5"/>
        <v/>
      </c>
      <c r="G24" s="64"/>
      <c r="H24" s="61"/>
      <c r="I24" s="61"/>
      <c r="J24" s="61"/>
      <c r="K24" s="61"/>
      <c r="L24" s="61"/>
      <c r="M24" s="61"/>
      <c r="N24" s="61"/>
      <c r="O24" s="61"/>
      <c r="P24" s="62"/>
      <c r="Q24" s="64"/>
      <c r="R24" s="62"/>
      <c r="S24" s="59"/>
      <c r="T24" s="51">
        <v>0.05</v>
      </c>
      <c r="U24" s="60"/>
      <c r="V24" s="53">
        <v>0.8</v>
      </c>
      <c r="W24" s="54">
        <f t="shared" si="6"/>
        <v>0</v>
      </c>
      <c r="X24" s="54">
        <f t="shared" si="7"/>
        <v>0</v>
      </c>
      <c r="Y24" s="54">
        <f t="shared" si="8"/>
        <v>0</v>
      </c>
      <c r="Z24" s="54">
        <f t="shared" si="9"/>
        <v>0</v>
      </c>
      <c r="AA24" s="54">
        <f t="shared" si="10"/>
        <v>0</v>
      </c>
      <c r="AB24" s="54" t="str">
        <f t="shared" si="11"/>
        <v/>
      </c>
      <c r="AC24" s="55" t="str">
        <f t="shared" ref="AC24:AD24" si="63">if(G24="yes",1,"")</f>
        <v/>
      </c>
      <c r="AD24" s="56" t="str">
        <f t="shared" si="63"/>
        <v/>
      </c>
      <c r="AE24" s="56" t="str">
        <f t="shared" si="13"/>
        <v/>
      </c>
      <c r="AF24" s="56" t="str">
        <f t="shared" si="14"/>
        <v/>
      </c>
      <c r="AG24" s="56" t="str">
        <f t="shared" si="15"/>
        <v/>
      </c>
      <c r="AH24" s="56" t="str">
        <f t="shared" si="16"/>
        <v/>
      </c>
      <c r="AI24" s="56" t="str">
        <f t="shared" si="17"/>
        <v/>
      </c>
      <c r="AJ24" s="56" t="str">
        <f t="shared" si="18"/>
        <v/>
      </c>
      <c r="AK24" s="56" t="str">
        <f t="shared" si="19"/>
        <v/>
      </c>
      <c r="AL24" s="56" t="str">
        <f t="shared" si="20"/>
        <v/>
      </c>
      <c r="AM24" s="56" t="str">
        <f t="shared" si="21"/>
        <v/>
      </c>
      <c r="AN24" s="56" t="str">
        <f t="shared" si="22"/>
        <v/>
      </c>
      <c r="AO24" s="56" t="str">
        <f t="shared" ref="AO24:AP24" si="64">if(N24="risk",-1,"")</f>
        <v/>
      </c>
      <c r="AP24" s="56" t="str">
        <f t="shared" si="64"/>
        <v/>
      </c>
      <c r="AQ24" s="56" t="str">
        <f t="shared" si="24"/>
        <v/>
      </c>
    </row>
    <row r="25">
      <c r="A25" s="82"/>
      <c r="B25" s="41">
        <f t="shared" si="3"/>
        <v>0</v>
      </c>
      <c r="C25" s="83"/>
      <c r="D25" s="43" t="str">
        <f>IFERROR(__xludf.DUMMYFUNCTION("GOOGLEFINANCE(A25,""price"")"),"#N/A")</f>
        <v>#N/A</v>
      </c>
      <c r="E25" s="43" t="str">
        <f t="shared" si="4"/>
        <v/>
      </c>
      <c r="F25" s="44" t="str">
        <f t="shared" si="5"/>
        <v/>
      </c>
      <c r="G25" s="64"/>
      <c r="H25" s="61"/>
      <c r="I25" s="61"/>
      <c r="J25" s="61"/>
      <c r="K25" s="61"/>
      <c r="L25" s="61"/>
      <c r="M25" s="61"/>
      <c r="N25" s="61"/>
      <c r="O25" s="61"/>
      <c r="P25" s="62"/>
      <c r="Q25" s="64"/>
      <c r="R25" s="62"/>
      <c r="S25" s="59"/>
      <c r="T25" s="51">
        <v>0.05</v>
      </c>
      <c r="U25" s="60"/>
      <c r="V25" s="53">
        <v>0.8</v>
      </c>
      <c r="W25" s="54">
        <f t="shared" si="6"/>
        <v>0</v>
      </c>
      <c r="X25" s="54">
        <f t="shared" si="7"/>
        <v>0</v>
      </c>
      <c r="Y25" s="54">
        <f t="shared" si="8"/>
        <v>0</v>
      </c>
      <c r="Z25" s="54">
        <f t="shared" si="9"/>
        <v>0</v>
      </c>
      <c r="AA25" s="54">
        <f t="shared" si="10"/>
        <v>0</v>
      </c>
      <c r="AB25" s="54" t="str">
        <f t="shared" si="11"/>
        <v/>
      </c>
      <c r="AC25" s="55" t="str">
        <f t="shared" ref="AC25:AD25" si="65">if(G25="yes",1,"")</f>
        <v/>
      </c>
      <c r="AD25" s="56" t="str">
        <f t="shared" si="65"/>
        <v/>
      </c>
      <c r="AE25" s="56" t="str">
        <f t="shared" si="13"/>
        <v/>
      </c>
      <c r="AF25" s="56" t="str">
        <f t="shared" si="14"/>
        <v/>
      </c>
      <c r="AG25" s="56" t="str">
        <f t="shared" si="15"/>
        <v/>
      </c>
      <c r="AH25" s="56" t="str">
        <f t="shared" si="16"/>
        <v/>
      </c>
      <c r="AI25" s="56" t="str">
        <f t="shared" si="17"/>
        <v/>
      </c>
      <c r="AJ25" s="56" t="str">
        <f t="shared" si="18"/>
        <v/>
      </c>
      <c r="AK25" s="56" t="str">
        <f t="shared" si="19"/>
        <v/>
      </c>
      <c r="AL25" s="56" t="str">
        <f t="shared" si="20"/>
        <v/>
      </c>
      <c r="AM25" s="56" t="str">
        <f t="shared" si="21"/>
        <v/>
      </c>
      <c r="AN25" s="56" t="str">
        <f t="shared" si="22"/>
        <v/>
      </c>
      <c r="AO25" s="56" t="str">
        <f t="shared" ref="AO25:AP25" si="66">if(N25="risk",-1,"")</f>
        <v/>
      </c>
      <c r="AP25" s="56" t="str">
        <f t="shared" si="66"/>
        <v/>
      </c>
      <c r="AQ25" s="56" t="str">
        <f t="shared" si="24"/>
        <v/>
      </c>
    </row>
    <row r="26">
      <c r="A26" s="82"/>
      <c r="B26" s="41">
        <f t="shared" si="3"/>
        <v>0</v>
      </c>
      <c r="C26" s="83"/>
      <c r="D26" s="43" t="str">
        <f>IFERROR(__xludf.DUMMYFUNCTION("GOOGLEFINANCE(A26,""price"")"),"#N/A")</f>
        <v>#N/A</v>
      </c>
      <c r="E26" s="43" t="str">
        <f t="shared" si="4"/>
        <v/>
      </c>
      <c r="F26" s="44" t="str">
        <f t="shared" si="5"/>
        <v/>
      </c>
      <c r="G26" s="64"/>
      <c r="H26" s="61"/>
      <c r="I26" s="61"/>
      <c r="J26" s="61"/>
      <c r="K26" s="61"/>
      <c r="L26" s="61"/>
      <c r="M26" s="61"/>
      <c r="N26" s="61"/>
      <c r="O26" s="61"/>
      <c r="P26" s="62"/>
      <c r="Q26" s="64"/>
      <c r="R26" s="62"/>
      <c r="S26" s="59"/>
      <c r="T26" s="51">
        <v>0.05</v>
      </c>
      <c r="U26" s="60"/>
      <c r="V26" s="53">
        <v>0.8</v>
      </c>
      <c r="W26" s="54">
        <f t="shared" si="6"/>
        <v>0</v>
      </c>
      <c r="X26" s="54">
        <f t="shared" si="7"/>
        <v>0</v>
      </c>
      <c r="Y26" s="54">
        <f t="shared" si="8"/>
        <v>0</v>
      </c>
      <c r="Z26" s="54">
        <f t="shared" si="9"/>
        <v>0</v>
      </c>
      <c r="AA26" s="54">
        <f t="shared" si="10"/>
        <v>0</v>
      </c>
      <c r="AB26" s="54" t="str">
        <f t="shared" si="11"/>
        <v/>
      </c>
      <c r="AC26" s="55" t="str">
        <f t="shared" ref="AC26:AD26" si="67">if(G26="yes",1,"")</f>
        <v/>
      </c>
      <c r="AD26" s="56" t="str">
        <f t="shared" si="67"/>
        <v/>
      </c>
      <c r="AE26" s="56" t="str">
        <f t="shared" si="13"/>
        <v/>
      </c>
      <c r="AF26" s="56" t="str">
        <f t="shared" si="14"/>
        <v/>
      </c>
      <c r="AG26" s="56" t="str">
        <f t="shared" si="15"/>
        <v/>
      </c>
      <c r="AH26" s="56" t="str">
        <f t="shared" si="16"/>
        <v/>
      </c>
      <c r="AI26" s="56" t="str">
        <f t="shared" si="17"/>
        <v/>
      </c>
      <c r="AJ26" s="56" t="str">
        <f t="shared" si="18"/>
        <v/>
      </c>
      <c r="AK26" s="56" t="str">
        <f t="shared" si="19"/>
        <v/>
      </c>
      <c r="AL26" s="56" t="str">
        <f t="shared" si="20"/>
        <v/>
      </c>
      <c r="AM26" s="56" t="str">
        <f t="shared" si="21"/>
        <v/>
      </c>
      <c r="AN26" s="56" t="str">
        <f t="shared" si="22"/>
        <v/>
      </c>
      <c r="AO26" s="56" t="str">
        <f t="shared" ref="AO26:AP26" si="68">if(N26="risk",-1,"")</f>
        <v/>
      </c>
      <c r="AP26" s="56" t="str">
        <f t="shared" si="68"/>
        <v/>
      </c>
      <c r="AQ26" s="56" t="str">
        <f t="shared" si="24"/>
        <v/>
      </c>
    </row>
    <row r="27">
      <c r="A27" s="82"/>
      <c r="B27" s="41">
        <f t="shared" si="3"/>
        <v>0</v>
      </c>
      <c r="C27" s="83"/>
      <c r="D27" s="43" t="str">
        <f>IFERROR(__xludf.DUMMYFUNCTION("GOOGLEFINANCE(A27,""price"")"),"#N/A")</f>
        <v>#N/A</v>
      </c>
      <c r="E27" s="43" t="str">
        <f t="shared" si="4"/>
        <v/>
      </c>
      <c r="F27" s="44" t="str">
        <f t="shared" si="5"/>
        <v/>
      </c>
      <c r="G27" s="64"/>
      <c r="H27" s="61"/>
      <c r="I27" s="61"/>
      <c r="J27" s="61"/>
      <c r="K27" s="61"/>
      <c r="L27" s="61"/>
      <c r="M27" s="61"/>
      <c r="N27" s="61"/>
      <c r="O27" s="61"/>
      <c r="P27" s="62"/>
      <c r="Q27" s="64"/>
      <c r="R27" s="62"/>
      <c r="S27" s="59"/>
      <c r="T27" s="51">
        <v>0.05</v>
      </c>
      <c r="U27" s="60"/>
      <c r="V27" s="53">
        <v>0.8</v>
      </c>
      <c r="W27" s="54">
        <f t="shared" si="6"/>
        <v>0</v>
      </c>
      <c r="X27" s="54">
        <f t="shared" si="7"/>
        <v>0</v>
      </c>
      <c r="Y27" s="54">
        <f t="shared" si="8"/>
        <v>0</v>
      </c>
      <c r="Z27" s="54">
        <f t="shared" si="9"/>
        <v>0</v>
      </c>
      <c r="AA27" s="54">
        <f t="shared" si="10"/>
        <v>0</v>
      </c>
      <c r="AB27" s="54" t="str">
        <f t="shared" si="11"/>
        <v/>
      </c>
      <c r="AC27" s="55" t="str">
        <f t="shared" ref="AC27:AD27" si="69">if(G27="yes",1,"")</f>
        <v/>
      </c>
      <c r="AD27" s="56" t="str">
        <f t="shared" si="69"/>
        <v/>
      </c>
      <c r="AE27" s="56" t="str">
        <f t="shared" si="13"/>
        <v/>
      </c>
      <c r="AF27" s="56" t="str">
        <f t="shared" si="14"/>
        <v/>
      </c>
      <c r="AG27" s="56" t="str">
        <f t="shared" si="15"/>
        <v/>
      </c>
      <c r="AH27" s="56" t="str">
        <f t="shared" si="16"/>
        <v/>
      </c>
      <c r="AI27" s="56" t="str">
        <f t="shared" si="17"/>
        <v/>
      </c>
      <c r="AJ27" s="56" t="str">
        <f t="shared" si="18"/>
        <v/>
      </c>
      <c r="AK27" s="56" t="str">
        <f t="shared" si="19"/>
        <v/>
      </c>
      <c r="AL27" s="56" t="str">
        <f t="shared" si="20"/>
        <v/>
      </c>
      <c r="AM27" s="56" t="str">
        <f t="shared" si="21"/>
        <v/>
      </c>
      <c r="AN27" s="56" t="str">
        <f t="shared" si="22"/>
        <v/>
      </c>
      <c r="AO27" s="56" t="str">
        <f t="shared" ref="AO27:AP27" si="70">if(N27="risk",-1,"")</f>
        <v/>
      </c>
      <c r="AP27" s="56" t="str">
        <f t="shared" si="70"/>
        <v/>
      </c>
      <c r="AQ27" s="56" t="str">
        <f t="shared" si="24"/>
        <v/>
      </c>
    </row>
    <row r="28">
      <c r="A28" s="82"/>
      <c r="B28" s="41">
        <f t="shared" si="3"/>
        <v>0</v>
      </c>
      <c r="C28" s="83"/>
      <c r="D28" s="43" t="str">
        <f>IFERROR(__xludf.DUMMYFUNCTION("GOOGLEFINANCE(A28,""price"")"),"#N/A")</f>
        <v>#N/A</v>
      </c>
      <c r="E28" s="43" t="str">
        <f t="shared" si="4"/>
        <v/>
      </c>
      <c r="F28" s="44" t="str">
        <f t="shared" si="5"/>
        <v/>
      </c>
      <c r="G28" s="64"/>
      <c r="H28" s="61"/>
      <c r="I28" s="61"/>
      <c r="J28" s="61"/>
      <c r="K28" s="61"/>
      <c r="L28" s="61"/>
      <c r="M28" s="61"/>
      <c r="N28" s="61"/>
      <c r="O28" s="61"/>
      <c r="P28" s="62"/>
      <c r="Q28" s="64"/>
      <c r="R28" s="62"/>
      <c r="S28" s="59"/>
      <c r="T28" s="51">
        <v>0.05</v>
      </c>
      <c r="U28" s="60"/>
      <c r="V28" s="53">
        <v>0.8</v>
      </c>
      <c r="W28" s="54">
        <f t="shared" si="6"/>
        <v>0</v>
      </c>
      <c r="X28" s="54">
        <f t="shared" si="7"/>
        <v>0</v>
      </c>
      <c r="Y28" s="54">
        <f t="shared" si="8"/>
        <v>0</v>
      </c>
      <c r="Z28" s="54">
        <f t="shared" si="9"/>
        <v>0</v>
      </c>
      <c r="AA28" s="54">
        <f t="shared" si="10"/>
        <v>0</v>
      </c>
      <c r="AB28" s="54" t="str">
        <f t="shared" si="11"/>
        <v/>
      </c>
      <c r="AC28" s="55" t="str">
        <f t="shared" ref="AC28:AD28" si="71">if(G28="yes",1,"")</f>
        <v/>
      </c>
      <c r="AD28" s="56" t="str">
        <f t="shared" si="71"/>
        <v/>
      </c>
      <c r="AE28" s="56" t="str">
        <f t="shared" si="13"/>
        <v/>
      </c>
      <c r="AF28" s="56" t="str">
        <f t="shared" si="14"/>
        <v/>
      </c>
      <c r="AG28" s="56" t="str">
        <f t="shared" si="15"/>
        <v/>
      </c>
      <c r="AH28" s="56" t="str">
        <f t="shared" si="16"/>
        <v/>
      </c>
      <c r="AI28" s="56" t="str">
        <f t="shared" si="17"/>
        <v/>
      </c>
      <c r="AJ28" s="56" t="str">
        <f t="shared" si="18"/>
        <v/>
      </c>
      <c r="AK28" s="56" t="str">
        <f t="shared" si="19"/>
        <v/>
      </c>
      <c r="AL28" s="56" t="str">
        <f t="shared" si="20"/>
        <v/>
      </c>
      <c r="AM28" s="56" t="str">
        <f t="shared" si="21"/>
        <v/>
      </c>
      <c r="AN28" s="56" t="str">
        <f t="shared" si="22"/>
        <v/>
      </c>
      <c r="AO28" s="56" t="str">
        <f t="shared" ref="AO28:AP28" si="72">if(N28="risk",-1,"")</f>
        <v/>
      </c>
      <c r="AP28" s="56" t="str">
        <f t="shared" si="72"/>
        <v/>
      </c>
      <c r="AQ28" s="56" t="str">
        <f t="shared" si="24"/>
        <v/>
      </c>
    </row>
    <row r="29">
      <c r="A29" s="82"/>
      <c r="B29" s="41">
        <f t="shared" si="3"/>
        <v>0</v>
      </c>
      <c r="C29" s="83"/>
      <c r="D29" s="43" t="str">
        <f>IFERROR(__xludf.DUMMYFUNCTION("GOOGLEFINANCE(A29,""price"")"),"#N/A")</f>
        <v>#N/A</v>
      </c>
      <c r="E29" s="43" t="str">
        <f t="shared" si="4"/>
        <v/>
      </c>
      <c r="F29" s="44" t="str">
        <f t="shared" si="5"/>
        <v/>
      </c>
      <c r="G29" s="64"/>
      <c r="H29" s="61"/>
      <c r="I29" s="61"/>
      <c r="J29" s="61"/>
      <c r="K29" s="61"/>
      <c r="L29" s="61"/>
      <c r="M29" s="61"/>
      <c r="N29" s="61"/>
      <c r="O29" s="61"/>
      <c r="P29" s="62"/>
      <c r="Q29" s="64"/>
      <c r="R29" s="62"/>
      <c r="S29" s="59"/>
      <c r="T29" s="51">
        <v>0.05</v>
      </c>
      <c r="U29" s="60"/>
      <c r="V29" s="53">
        <v>0.8</v>
      </c>
      <c r="W29" s="54">
        <f t="shared" si="6"/>
        <v>0</v>
      </c>
      <c r="X29" s="54">
        <f t="shared" si="7"/>
        <v>0</v>
      </c>
      <c r="Y29" s="54">
        <f t="shared" si="8"/>
        <v>0</v>
      </c>
      <c r="Z29" s="54">
        <f t="shared" si="9"/>
        <v>0</v>
      </c>
      <c r="AA29" s="54">
        <f t="shared" si="10"/>
        <v>0</v>
      </c>
      <c r="AB29" s="54" t="str">
        <f t="shared" si="11"/>
        <v/>
      </c>
      <c r="AC29" s="55" t="str">
        <f t="shared" ref="AC29:AD29" si="73">if(G29="yes",1,"")</f>
        <v/>
      </c>
      <c r="AD29" s="56" t="str">
        <f t="shared" si="73"/>
        <v/>
      </c>
      <c r="AE29" s="56" t="str">
        <f t="shared" si="13"/>
        <v/>
      </c>
      <c r="AF29" s="56" t="str">
        <f t="shared" si="14"/>
        <v/>
      </c>
      <c r="AG29" s="56" t="str">
        <f t="shared" si="15"/>
        <v/>
      </c>
      <c r="AH29" s="56" t="str">
        <f t="shared" si="16"/>
        <v/>
      </c>
      <c r="AI29" s="56" t="str">
        <f t="shared" si="17"/>
        <v/>
      </c>
      <c r="AJ29" s="56" t="str">
        <f t="shared" si="18"/>
        <v/>
      </c>
      <c r="AK29" s="56" t="str">
        <f t="shared" si="19"/>
        <v/>
      </c>
      <c r="AL29" s="56" t="str">
        <f t="shared" si="20"/>
        <v/>
      </c>
      <c r="AM29" s="56" t="str">
        <f t="shared" si="21"/>
        <v/>
      </c>
      <c r="AN29" s="56" t="str">
        <f t="shared" si="22"/>
        <v/>
      </c>
      <c r="AO29" s="56" t="str">
        <f t="shared" ref="AO29:AP29" si="74">if(N29="risk",-1,"")</f>
        <v/>
      </c>
      <c r="AP29" s="56" t="str">
        <f t="shared" si="74"/>
        <v/>
      </c>
      <c r="AQ29" s="56" t="str">
        <f t="shared" si="24"/>
        <v/>
      </c>
    </row>
    <row r="30">
      <c r="A30" s="82"/>
      <c r="B30" s="41">
        <f t="shared" si="3"/>
        <v>0</v>
      </c>
      <c r="C30" s="83"/>
      <c r="D30" s="43" t="str">
        <f>IFERROR(__xludf.DUMMYFUNCTION("GOOGLEFINANCE(A30,""price"")"),"#N/A")</f>
        <v>#N/A</v>
      </c>
      <c r="E30" s="43" t="str">
        <f t="shared" si="4"/>
        <v/>
      </c>
      <c r="F30" s="44" t="str">
        <f t="shared" si="5"/>
        <v/>
      </c>
      <c r="G30" s="64"/>
      <c r="H30" s="61"/>
      <c r="I30" s="61"/>
      <c r="J30" s="61"/>
      <c r="K30" s="61"/>
      <c r="L30" s="61"/>
      <c r="M30" s="61"/>
      <c r="N30" s="61"/>
      <c r="O30" s="61"/>
      <c r="P30" s="62"/>
      <c r="Q30" s="64"/>
      <c r="R30" s="62"/>
      <c r="S30" s="59"/>
      <c r="T30" s="51">
        <v>0.05</v>
      </c>
      <c r="U30" s="60"/>
      <c r="V30" s="53">
        <v>0.8</v>
      </c>
      <c r="W30" s="54">
        <f t="shared" si="6"/>
        <v>0</v>
      </c>
      <c r="X30" s="54">
        <f t="shared" si="7"/>
        <v>0</v>
      </c>
      <c r="Y30" s="54">
        <f t="shared" si="8"/>
        <v>0</v>
      </c>
      <c r="Z30" s="54">
        <f t="shared" si="9"/>
        <v>0</v>
      </c>
      <c r="AA30" s="54">
        <f t="shared" si="10"/>
        <v>0</v>
      </c>
      <c r="AB30" s="54" t="str">
        <f t="shared" si="11"/>
        <v/>
      </c>
      <c r="AC30" s="55" t="str">
        <f t="shared" ref="AC30:AD30" si="75">if(G30="yes",1,"")</f>
        <v/>
      </c>
      <c r="AD30" s="56" t="str">
        <f t="shared" si="75"/>
        <v/>
      </c>
      <c r="AE30" s="56" t="str">
        <f t="shared" si="13"/>
        <v/>
      </c>
      <c r="AF30" s="56" t="str">
        <f t="shared" si="14"/>
        <v/>
      </c>
      <c r="AG30" s="56" t="str">
        <f t="shared" si="15"/>
        <v/>
      </c>
      <c r="AH30" s="56" t="str">
        <f t="shared" si="16"/>
        <v/>
      </c>
      <c r="AI30" s="56" t="str">
        <f t="shared" si="17"/>
        <v/>
      </c>
      <c r="AJ30" s="56" t="str">
        <f t="shared" si="18"/>
        <v/>
      </c>
      <c r="AK30" s="56" t="str">
        <f t="shared" si="19"/>
        <v/>
      </c>
      <c r="AL30" s="56" t="str">
        <f t="shared" si="20"/>
        <v/>
      </c>
      <c r="AM30" s="56" t="str">
        <f t="shared" si="21"/>
        <v/>
      </c>
      <c r="AN30" s="56" t="str">
        <f t="shared" si="22"/>
        <v/>
      </c>
      <c r="AO30" s="56" t="str">
        <f t="shared" ref="AO30:AP30" si="76">if(N30="risk",-1,"")</f>
        <v/>
      </c>
      <c r="AP30" s="56" t="str">
        <f t="shared" si="76"/>
        <v/>
      </c>
      <c r="AQ30" s="56" t="str">
        <f t="shared" si="24"/>
        <v/>
      </c>
    </row>
    <row r="31">
      <c r="A31" s="82"/>
      <c r="B31" s="41">
        <f t="shared" si="3"/>
        <v>0</v>
      </c>
      <c r="C31" s="83"/>
      <c r="D31" s="43" t="str">
        <f>IFERROR(__xludf.DUMMYFUNCTION("GOOGLEFINANCE(A31,""price"")"),"#N/A")</f>
        <v>#N/A</v>
      </c>
      <c r="E31" s="43" t="str">
        <f t="shared" si="4"/>
        <v/>
      </c>
      <c r="F31" s="44" t="str">
        <f t="shared" si="5"/>
        <v/>
      </c>
      <c r="G31" s="64"/>
      <c r="H31" s="61"/>
      <c r="I31" s="61"/>
      <c r="J31" s="61"/>
      <c r="K31" s="61"/>
      <c r="L31" s="61"/>
      <c r="M31" s="61"/>
      <c r="N31" s="61"/>
      <c r="O31" s="61"/>
      <c r="P31" s="62"/>
      <c r="Q31" s="64"/>
      <c r="R31" s="62"/>
      <c r="S31" s="59"/>
      <c r="T31" s="51">
        <v>0.05</v>
      </c>
      <c r="U31" s="60"/>
      <c r="V31" s="53">
        <v>0.8</v>
      </c>
      <c r="W31" s="54">
        <f t="shared" si="6"/>
        <v>0</v>
      </c>
      <c r="X31" s="54">
        <f t="shared" si="7"/>
        <v>0</v>
      </c>
      <c r="Y31" s="54">
        <f t="shared" si="8"/>
        <v>0</v>
      </c>
      <c r="Z31" s="54">
        <f t="shared" si="9"/>
        <v>0</v>
      </c>
      <c r="AA31" s="54">
        <f t="shared" si="10"/>
        <v>0</v>
      </c>
      <c r="AB31" s="54" t="str">
        <f t="shared" si="11"/>
        <v/>
      </c>
      <c r="AC31" s="55" t="str">
        <f t="shared" ref="AC31:AD31" si="77">if(G31="yes",1,"")</f>
        <v/>
      </c>
      <c r="AD31" s="56" t="str">
        <f t="shared" si="77"/>
        <v/>
      </c>
      <c r="AE31" s="56" t="str">
        <f t="shared" si="13"/>
        <v/>
      </c>
      <c r="AF31" s="56" t="str">
        <f t="shared" si="14"/>
        <v/>
      </c>
      <c r="AG31" s="56" t="str">
        <f t="shared" si="15"/>
        <v/>
      </c>
      <c r="AH31" s="56" t="str">
        <f t="shared" si="16"/>
        <v/>
      </c>
      <c r="AI31" s="56" t="str">
        <f t="shared" si="17"/>
        <v/>
      </c>
      <c r="AJ31" s="56" t="str">
        <f t="shared" si="18"/>
        <v/>
      </c>
      <c r="AK31" s="56" t="str">
        <f t="shared" si="19"/>
        <v/>
      </c>
      <c r="AL31" s="56" t="str">
        <f t="shared" si="20"/>
        <v/>
      </c>
      <c r="AM31" s="56" t="str">
        <f t="shared" si="21"/>
        <v/>
      </c>
      <c r="AN31" s="56" t="str">
        <f t="shared" si="22"/>
        <v/>
      </c>
      <c r="AO31" s="56" t="str">
        <f t="shared" ref="AO31:AP31" si="78">if(N31="risk",-1,"")</f>
        <v/>
      </c>
      <c r="AP31" s="56" t="str">
        <f t="shared" si="78"/>
        <v/>
      </c>
      <c r="AQ31" s="56" t="str">
        <f t="shared" si="24"/>
        <v/>
      </c>
    </row>
    <row r="32">
      <c r="A32" s="82"/>
      <c r="B32" s="41">
        <f t="shared" si="3"/>
        <v>0</v>
      </c>
      <c r="C32" s="83"/>
      <c r="D32" s="43" t="str">
        <f>IFERROR(__xludf.DUMMYFUNCTION("GOOGLEFINANCE(A32,""price"")"),"#N/A")</f>
        <v>#N/A</v>
      </c>
      <c r="E32" s="43" t="str">
        <f t="shared" si="4"/>
        <v/>
      </c>
      <c r="F32" s="44" t="str">
        <f t="shared" si="5"/>
        <v/>
      </c>
      <c r="G32" s="64"/>
      <c r="H32" s="61"/>
      <c r="I32" s="61"/>
      <c r="J32" s="61"/>
      <c r="K32" s="61"/>
      <c r="L32" s="61"/>
      <c r="M32" s="61"/>
      <c r="N32" s="61"/>
      <c r="O32" s="61"/>
      <c r="P32" s="62"/>
      <c r="Q32" s="64"/>
      <c r="R32" s="62"/>
      <c r="S32" s="59"/>
      <c r="T32" s="51">
        <v>0.05</v>
      </c>
      <c r="U32" s="60"/>
      <c r="V32" s="53">
        <v>0.8</v>
      </c>
      <c r="W32" s="54">
        <f t="shared" si="6"/>
        <v>0</v>
      </c>
      <c r="X32" s="54">
        <f t="shared" si="7"/>
        <v>0</v>
      </c>
      <c r="Y32" s="54">
        <f t="shared" si="8"/>
        <v>0</v>
      </c>
      <c r="Z32" s="54">
        <f t="shared" si="9"/>
        <v>0</v>
      </c>
      <c r="AA32" s="54">
        <f t="shared" si="10"/>
        <v>0</v>
      </c>
      <c r="AB32" s="54" t="str">
        <f t="shared" si="11"/>
        <v/>
      </c>
      <c r="AC32" s="55" t="str">
        <f t="shared" ref="AC32:AD32" si="79">if(G32="yes",1,"")</f>
        <v/>
      </c>
      <c r="AD32" s="56" t="str">
        <f t="shared" si="79"/>
        <v/>
      </c>
      <c r="AE32" s="56" t="str">
        <f t="shared" si="13"/>
        <v/>
      </c>
      <c r="AF32" s="56" t="str">
        <f t="shared" si="14"/>
        <v/>
      </c>
      <c r="AG32" s="56" t="str">
        <f t="shared" si="15"/>
        <v/>
      </c>
      <c r="AH32" s="56" t="str">
        <f t="shared" si="16"/>
        <v/>
      </c>
      <c r="AI32" s="56" t="str">
        <f t="shared" si="17"/>
        <v/>
      </c>
      <c r="AJ32" s="56" t="str">
        <f t="shared" si="18"/>
        <v/>
      </c>
      <c r="AK32" s="56" t="str">
        <f t="shared" si="19"/>
        <v/>
      </c>
      <c r="AL32" s="56" t="str">
        <f t="shared" si="20"/>
        <v/>
      </c>
      <c r="AM32" s="56" t="str">
        <f t="shared" si="21"/>
        <v/>
      </c>
      <c r="AN32" s="56" t="str">
        <f t="shared" si="22"/>
        <v/>
      </c>
      <c r="AO32" s="56" t="str">
        <f t="shared" ref="AO32:AP32" si="80">if(N32="risk",-1,"")</f>
        <v/>
      </c>
      <c r="AP32" s="56" t="str">
        <f t="shared" si="80"/>
        <v/>
      </c>
      <c r="AQ32" s="56" t="str">
        <f t="shared" si="24"/>
        <v/>
      </c>
    </row>
    <row r="33">
      <c r="A33" s="82"/>
      <c r="B33" s="41">
        <f t="shared" si="3"/>
        <v>0</v>
      </c>
      <c r="C33" s="83"/>
      <c r="D33" s="43" t="str">
        <f>IFERROR(__xludf.DUMMYFUNCTION("GOOGLEFINANCE(A33,""price"")"),"#N/A")</f>
        <v>#N/A</v>
      </c>
      <c r="E33" s="43" t="str">
        <f t="shared" si="4"/>
        <v/>
      </c>
      <c r="F33" s="44" t="str">
        <f t="shared" si="5"/>
        <v/>
      </c>
      <c r="G33" s="64"/>
      <c r="H33" s="61"/>
      <c r="I33" s="61"/>
      <c r="J33" s="61"/>
      <c r="K33" s="61"/>
      <c r="L33" s="61"/>
      <c r="M33" s="61"/>
      <c r="N33" s="61"/>
      <c r="O33" s="61"/>
      <c r="P33" s="62"/>
      <c r="Q33" s="64"/>
      <c r="R33" s="62"/>
      <c r="S33" s="59"/>
      <c r="T33" s="51">
        <v>0.05</v>
      </c>
      <c r="U33" s="60"/>
      <c r="V33" s="53">
        <v>0.8</v>
      </c>
      <c r="W33" s="54">
        <f t="shared" si="6"/>
        <v>0</v>
      </c>
      <c r="X33" s="54">
        <f t="shared" si="7"/>
        <v>0</v>
      </c>
      <c r="Y33" s="54">
        <f t="shared" si="8"/>
        <v>0</v>
      </c>
      <c r="Z33" s="54">
        <f t="shared" si="9"/>
        <v>0</v>
      </c>
      <c r="AA33" s="54">
        <f t="shared" si="10"/>
        <v>0</v>
      </c>
      <c r="AB33" s="54" t="str">
        <f t="shared" si="11"/>
        <v/>
      </c>
      <c r="AC33" s="55" t="str">
        <f t="shared" ref="AC33:AD33" si="81">if(G33="yes",1,"")</f>
        <v/>
      </c>
      <c r="AD33" s="56" t="str">
        <f t="shared" si="81"/>
        <v/>
      </c>
      <c r="AE33" s="56" t="str">
        <f t="shared" si="13"/>
        <v/>
      </c>
      <c r="AF33" s="56" t="str">
        <f t="shared" si="14"/>
        <v/>
      </c>
      <c r="AG33" s="56" t="str">
        <f t="shared" si="15"/>
        <v/>
      </c>
      <c r="AH33" s="56" t="str">
        <f t="shared" si="16"/>
        <v/>
      </c>
      <c r="AI33" s="56" t="str">
        <f t="shared" si="17"/>
        <v/>
      </c>
      <c r="AJ33" s="56" t="str">
        <f t="shared" si="18"/>
        <v/>
      </c>
      <c r="AK33" s="56" t="str">
        <f t="shared" si="19"/>
        <v/>
      </c>
      <c r="AL33" s="56" t="str">
        <f t="shared" si="20"/>
        <v/>
      </c>
      <c r="AM33" s="56" t="str">
        <f t="shared" si="21"/>
        <v/>
      </c>
      <c r="AN33" s="56" t="str">
        <f t="shared" si="22"/>
        <v/>
      </c>
      <c r="AO33" s="56" t="str">
        <f t="shared" ref="AO33:AP33" si="82">if(N33="risk",-1,"")</f>
        <v/>
      </c>
      <c r="AP33" s="56" t="str">
        <f t="shared" si="82"/>
        <v/>
      </c>
      <c r="AQ33" s="56" t="str">
        <f t="shared" si="24"/>
        <v/>
      </c>
    </row>
    <row r="34">
      <c r="A34" s="82"/>
      <c r="B34" s="41">
        <f t="shared" si="3"/>
        <v>0</v>
      </c>
      <c r="C34" s="83"/>
      <c r="D34" s="43" t="str">
        <f>IFERROR(__xludf.DUMMYFUNCTION("GOOGLEFINANCE(A34,""price"")"),"#N/A")</f>
        <v>#N/A</v>
      </c>
      <c r="E34" s="43" t="str">
        <f t="shared" si="4"/>
        <v/>
      </c>
      <c r="F34" s="44" t="str">
        <f t="shared" si="5"/>
        <v/>
      </c>
      <c r="G34" s="64"/>
      <c r="H34" s="61"/>
      <c r="I34" s="61"/>
      <c r="J34" s="61"/>
      <c r="K34" s="61"/>
      <c r="L34" s="61"/>
      <c r="M34" s="61"/>
      <c r="N34" s="61"/>
      <c r="O34" s="61"/>
      <c r="P34" s="62"/>
      <c r="Q34" s="64"/>
      <c r="R34" s="62"/>
      <c r="S34" s="59"/>
      <c r="T34" s="51">
        <v>0.05</v>
      </c>
      <c r="U34" s="60"/>
      <c r="V34" s="53">
        <v>0.8</v>
      </c>
      <c r="W34" s="54">
        <f t="shared" si="6"/>
        <v>0</v>
      </c>
      <c r="X34" s="54">
        <f t="shared" si="7"/>
        <v>0</v>
      </c>
      <c r="Y34" s="54">
        <f t="shared" si="8"/>
        <v>0</v>
      </c>
      <c r="Z34" s="54">
        <f t="shared" si="9"/>
        <v>0</v>
      </c>
      <c r="AA34" s="54">
        <f t="shared" si="10"/>
        <v>0</v>
      </c>
      <c r="AB34" s="54" t="str">
        <f t="shared" si="11"/>
        <v/>
      </c>
      <c r="AC34" s="55" t="str">
        <f t="shared" ref="AC34:AD34" si="83">if(G34="yes",1,"")</f>
        <v/>
      </c>
      <c r="AD34" s="56" t="str">
        <f t="shared" si="83"/>
        <v/>
      </c>
      <c r="AE34" s="56" t="str">
        <f t="shared" si="13"/>
        <v/>
      </c>
      <c r="AF34" s="56" t="str">
        <f t="shared" si="14"/>
        <v/>
      </c>
      <c r="AG34" s="56" t="str">
        <f t="shared" si="15"/>
        <v/>
      </c>
      <c r="AH34" s="56" t="str">
        <f t="shared" si="16"/>
        <v/>
      </c>
      <c r="AI34" s="56" t="str">
        <f t="shared" si="17"/>
        <v/>
      </c>
      <c r="AJ34" s="56" t="str">
        <f t="shared" si="18"/>
        <v/>
      </c>
      <c r="AK34" s="56" t="str">
        <f t="shared" si="19"/>
        <v/>
      </c>
      <c r="AL34" s="56" t="str">
        <f t="shared" si="20"/>
        <v/>
      </c>
      <c r="AM34" s="56" t="str">
        <f t="shared" si="21"/>
        <v/>
      </c>
      <c r="AN34" s="56" t="str">
        <f t="shared" si="22"/>
        <v/>
      </c>
      <c r="AO34" s="56" t="str">
        <f t="shared" ref="AO34:AP34" si="84">if(N34="risk",-1,"")</f>
        <v/>
      </c>
      <c r="AP34" s="56" t="str">
        <f t="shared" si="84"/>
        <v/>
      </c>
      <c r="AQ34" s="56" t="str">
        <f t="shared" si="24"/>
        <v/>
      </c>
    </row>
    <row r="35">
      <c r="A35" s="82"/>
      <c r="B35" s="41">
        <f t="shared" si="3"/>
        <v>0</v>
      </c>
      <c r="C35" s="83"/>
      <c r="D35" s="43" t="str">
        <f>IFERROR(__xludf.DUMMYFUNCTION("GOOGLEFINANCE(A35,""price"")"),"#N/A")</f>
        <v>#N/A</v>
      </c>
      <c r="E35" s="43" t="str">
        <f t="shared" si="4"/>
        <v/>
      </c>
      <c r="F35" s="44" t="str">
        <f t="shared" si="5"/>
        <v/>
      </c>
      <c r="G35" s="64"/>
      <c r="H35" s="61"/>
      <c r="I35" s="61"/>
      <c r="J35" s="61"/>
      <c r="K35" s="61"/>
      <c r="L35" s="61"/>
      <c r="M35" s="61"/>
      <c r="N35" s="61"/>
      <c r="O35" s="61"/>
      <c r="P35" s="62"/>
      <c r="Q35" s="64"/>
      <c r="R35" s="62"/>
      <c r="S35" s="59"/>
      <c r="T35" s="51">
        <v>0.05</v>
      </c>
      <c r="U35" s="60"/>
      <c r="V35" s="53">
        <v>0.8</v>
      </c>
      <c r="W35" s="54">
        <f t="shared" si="6"/>
        <v>0</v>
      </c>
      <c r="X35" s="54">
        <f t="shared" si="7"/>
        <v>0</v>
      </c>
      <c r="Y35" s="54">
        <f t="shared" si="8"/>
        <v>0</v>
      </c>
      <c r="Z35" s="54">
        <f t="shared" si="9"/>
        <v>0</v>
      </c>
      <c r="AA35" s="54">
        <f t="shared" si="10"/>
        <v>0</v>
      </c>
      <c r="AB35" s="54" t="str">
        <f t="shared" si="11"/>
        <v/>
      </c>
      <c r="AC35" s="55" t="str">
        <f t="shared" ref="AC35:AD35" si="85">if(G35="yes",1,"")</f>
        <v/>
      </c>
      <c r="AD35" s="56" t="str">
        <f t="shared" si="85"/>
        <v/>
      </c>
      <c r="AE35" s="56" t="str">
        <f t="shared" si="13"/>
        <v/>
      </c>
      <c r="AF35" s="56" t="str">
        <f t="shared" si="14"/>
        <v/>
      </c>
      <c r="AG35" s="56" t="str">
        <f t="shared" si="15"/>
        <v/>
      </c>
      <c r="AH35" s="56" t="str">
        <f t="shared" si="16"/>
        <v/>
      </c>
      <c r="AI35" s="56" t="str">
        <f t="shared" si="17"/>
        <v/>
      </c>
      <c r="AJ35" s="56" t="str">
        <f t="shared" si="18"/>
        <v/>
      </c>
      <c r="AK35" s="56" t="str">
        <f t="shared" si="19"/>
        <v/>
      </c>
      <c r="AL35" s="56" t="str">
        <f t="shared" si="20"/>
        <v/>
      </c>
      <c r="AM35" s="56" t="str">
        <f t="shared" si="21"/>
        <v/>
      </c>
      <c r="AN35" s="56" t="str">
        <f t="shared" si="22"/>
        <v/>
      </c>
      <c r="AO35" s="56" t="str">
        <f t="shared" ref="AO35:AP35" si="86">if(N35="risk",-1,"")</f>
        <v/>
      </c>
      <c r="AP35" s="56" t="str">
        <f t="shared" si="86"/>
        <v/>
      </c>
      <c r="AQ35" s="56" t="str">
        <f t="shared" si="24"/>
        <v/>
      </c>
    </row>
    <row r="36">
      <c r="A36" s="82"/>
      <c r="B36" s="41">
        <f t="shared" si="3"/>
        <v>0</v>
      </c>
      <c r="C36" s="83"/>
      <c r="D36" s="43" t="str">
        <f>IFERROR(__xludf.DUMMYFUNCTION("GOOGLEFINANCE(A36,""price"")"),"#N/A")</f>
        <v>#N/A</v>
      </c>
      <c r="E36" s="43" t="str">
        <f t="shared" si="4"/>
        <v/>
      </c>
      <c r="F36" s="44" t="str">
        <f t="shared" si="5"/>
        <v/>
      </c>
      <c r="G36" s="64"/>
      <c r="H36" s="61"/>
      <c r="I36" s="61"/>
      <c r="J36" s="61"/>
      <c r="K36" s="61"/>
      <c r="L36" s="61"/>
      <c r="M36" s="61"/>
      <c r="N36" s="61"/>
      <c r="O36" s="61"/>
      <c r="P36" s="62"/>
      <c r="Q36" s="64"/>
      <c r="R36" s="62"/>
      <c r="S36" s="59"/>
      <c r="T36" s="51">
        <v>0.05</v>
      </c>
      <c r="U36" s="60"/>
      <c r="V36" s="53">
        <v>0.8</v>
      </c>
      <c r="W36" s="54">
        <f t="shared" si="6"/>
        <v>0</v>
      </c>
      <c r="X36" s="54">
        <f t="shared" si="7"/>
        <v>0</v>
      </c>
      <c r="Y36" s="54">
        <f t="shared" si="8"/>
        <v>0</v>
      </c>
      <c r="Z36" s="54">
        <f t="shared" si="9"/>
        <v>0</v>
      </c>
      <c r="AA36" s="54">
        <f t="shared" si="10"/>
        <v>0</v>
      </c>
      <c r="AB36" s="54" t="str">
        <f t="shared" si="11"/>
        <v/>
      </c>
      <c r="AC36" s="55" t="str">
        <f t="shared" ref="AC36:AD36" si="87">if(G36="yes",1,"")</f>
        <v/>
      </c>
      <c r="AD36" s="56" t="str">
        <f t="shared" si="87"/>
        <v/>
      </c>
      <c r="AE36" s="56" t="str">
        <f t="shared" si="13"/>
        <v/>
      </c>
      <c r="AF36" s="56" t="str">
        <f t="shared" si="14"/>
        <v/>
      </c>
      <c r="AG36" s="56" t="str">
        <f t="shared" si="15"/>
        <v/>
      </c>
      <c r="AH36" s="56" t="str">
        <f t="shared" si="16"/>
        <v/>
      </c>
      <c r="AI36" s="56" t="str">
        <f t="shared" si="17"/>
        <v/>
      </c>
      <c r="AJ36" s="56" t="str">
        <f t="shared" si="18"/>
        <v/>
      </c>
      <c r="AK36" s="56" t="str">
        <f t="shared" si="19"/>
        <v/>
      </c>
      <c r="AL36" s="56" t="str">
        <f t="shared" si="20"/>
        <v/>
      </c>
      <c r="AM36" s="56" t="str">
        <f t="shared" si="21"/>
        <v/>
      </c>
      <c r="AN36" s="56" t="str">
        <f t="shared" si="22"/>
        <v/>
      </c>
      <c r="AO36" s="56" t="str">
        <f t="shared" ref="AO36:AP36" si="88">if(N36="risk",-1,"")</f>
        <v/>
      </c>
      <c r="AP36" s="56" t="str">
        <f t="shared" si="88"/>
        <v/>
      </c>
      <c r="AQ36" s="56" t="str">
        <f t="shared" si="24"/>
        <v/>
      </c>
    </row>
    <row r="37">
      <c r="A37" s="82"/>
      <c r="B37" s="41">
        <f t="shared" si="3"/>
        <v>0</v>
      </c>
      <c r="C37" s="83"/>
      <c r="D37" s="43" t="str">
        <f>IFERROR(__xludf.DUMMYFUNCTION("GOOGLEFINANCE(A37,""price"")"),"#N/A")</f>
        <v>#N/A</v>
      </c>
      <c r="E37" s="43" t="str">
        <f t="shared" si="4"/>
        <v/>
      </c>
      <c r="F37" s="44" t="str">
        <f t="shared" si="5"/>
        <v/>
      </c>
      <c r="G37" s="64"/>
      <c r="H37" s="61"/>
      <c r="I37" s="61"/>
      <c r="J37" s="61"/>
      <c r="K37" s="61"/>
      <c r="L37" s="61"/>
      <c r="M37" s="61"/>
      <c r="N37" s="61"/>
      <c r="O37" s="61"/>
      <c r="P37" s="62"/>
      <c r="Q37" s="64"/>
      <c r="R37" s="62"/>
      <c r="S37" s="59"/>
      <c r="T37" s="51">
        <v>0.05</v>
      </c>
      <c r="U37" s="60"/>
      <c r="V37" s="53">
        <v>0.8</v>
      </c>
      <c r="W37" s="54">
        <f t="shared" si="6"/>
        <v>0</v>
      </c>
      <c r="X37" s="54">
        <f t="shared" si="7"/>
        <v>0</v>
      </c>
      <c r="Y37" s="54">
        <f t="shared" si="8"/>
        <v>0</v>
      </c>
      <c r="Z37" s="54">
        <f t="shared" si="9"/>
        <v>0</v>
      </c>
      <c r="AA37" s="54">
        <f t="shared" si="10"/>
        <v>0</v>
      </c>
      <c r="AB37" s="54" t="str">
        <f t="shared" si="11"/>
        <v/>
      </c>
      <c r="AC37" s="55" t="str">
        <f t="shared" ref="AC37:AD37" si="89">if(G37="yes",1,"")</f>
        <v/>
      </c>
      <c r="AD37" s="56" t="str">
        <f t="shared" si="89"/>
        <v/>
      </c>
      <c r="AE37" s="56" t="str">
        <f t="shared" si="13"/>
        <v/>
      </c>
      <c r="AF37" s="56" t="str">
        <f t="shared" si="14"/>
        <v/>
      </c>
      <c r="AG37" s="56" t="str">
        <f t="shared" si="15"/>
        <v/>
      </c>
      <c r="AH37" s="56" t="str">
        <f t="shared" si="16"/>
        <v/>
      </c>
      <c r="AI37" s="56" t="str">
        <f t="shared" si="17"/>
        <v/>
      </c>
      <c r="AJ37" s="56" t="str">
        <f t="shared" si="18"/>
        <v/>
      </c>
      <c r="AK37" s="56" t="str">
        <f t="shared" si="19"/>
        <v/>
      </c>
      <c r="AL37" s="56" t="str">
        <f t="shared" si="20"/>
        <v/>
      </c>
      <c r="AM37" s="56" t="str">
        <f t="shared" si="21"/>
        <v/>
      </c>
      <c r="AN37" s="56" t="str">
        <f t="shared" si="22"/>
        <v/>
      </c>
      <c r="AO37" s="56" t="str">
        <f t="shared" ref="AO37:AP37" si="90">if(N37="risk",-1,"")</f>
        <v/>
      </c>
      <c r="AP37" s="56" t="str">
        <f t="shared" si="90"/>
        <v/>
      </c>
      <c r="AQ37" s="56" t="str">
        <f t="shared" si="24"/>
        <v/>
      </c>
    </row>
    <row r="38">
      <c r="A38" s="82"/>
      <c r="B38" s="41">
        <f t="shared" si="3"/>
        <v>0</v>
      </c>
      <c r="C38" s="83"/>
      <c r="D38" s="43" t="str">
        <f>IFERROR(__xludf.DUMMYFUNCTION("GOOGLEFINANCE(A38,""price"")"),"#N/A")</f>
        <v>#N/A</v>
      </c>
      <c r="E38" s="43" t="str">
        <f t="shared" si="4"/>
        <v/>
      </c>
      <c r="F38" s="44" t="str">
        <f t="shared" si="5"/>
        <v/>
      </c>
      <c r="G38" s="64"/>
      <c r="H38" s="61"/>
      <c r="I38" s="61"/>
      <c r="J38" s="61"/>
      <c r="K38" s="61"/>
      <c r="L38" s="61"/>
      <c r="M38" s="61"/>
      <c r="N38" s="61"/>
      <c r="O38" s="61"/>
      <c r="P38" s="62"/>
      <c r="Q38" s="64"/>
      <c r="R38" s="62"/>
      <c r="S38" s="59"/>
      <c r="T38" s="51">
        <v>0.05</v>
      </c>
      <c r="U38" s="60"/>
      <c r="V38" s="53">
        <v>0.8</v>
      </c>
      <c r="W38" s="54">
        <f t="shared" si="6"/>
        <v>0</v>
      </c>
      <c r="X38" s="54">
        <f t="shared" si="7"/>
        <v>0</v>
      </c>
      <c r="Y38" s="54">
        <f t="shared" si="8"/>
        <v>0</v>
      </c>
      <c r="Z38" s="54">
        <f t="shared" si="9"/>
        <v>0</v>
      </c>
      <c r="AA38" s="54">
        <f t="shared" si="10"/>
        <v>0</v>
      </c>
      <c r="AB38" s="54" t="str">
        <f t="shared" si="11"/>
        <v/>
      </c>
      <c r="AC38" s="55" t="str">
        <f t="shared" ref="AC38:AD38" si="91">if(G38="yes",1,"")</f>
        <v/>
      </c>
      <c r="AD38" s="56" t="str">
        <f t="shared" si="91"/>
        <v/>
      </c>
      <c r="AE38" s="56" t="str">
        <f t="shared" si="13"/>
        <v/>
      </c>
      <c r="AF38" s="56" t="str">
        <f t="shared" si="14"/>
        <v/>
      </c>
      <c r="AG38" s="56" t="str">
        <f t="shared" si="15"/>
        <v/>
      </c>
      <c r="AH38" s="56" t="str">
        <f t="shared" si="16"/>
        <v/>
      </c>
      <c r="AI38" s="56" t="str">
        <f t="shared" si="17"/>
        <v/>
      </c>
      <c r="AJ38" s="56" t="str">
        <f t="shared" si="18"/>
        <v/>
      </c>
      <c r="AK38" s="56" t="str">
        <f t="shared" si="19"/>
        <v/>
      </c>
      <c r="AL38" s="56" t="str">
        <f t="shared" si="20"/>
        <v/>
      </c>
      <c r="AM38" s="56" t="str">
        <f t="shared" si="21"/>
        <v/>
      </c>
      <c r="AN38" s="56" t="str">
        <f t="shared" si="22"/>
        <v/>
      </c>
      <c r="AO38" s="56" t="str">
        <f t="shared" ref="AO38:AP38" si="92">if(N38="risk",-1,"")</f>
        <v/>
      </c>
      <c r="AP38" s="56" t="str">
        <f t="shared" si="92"/>
        <v/>
      </c>
      <c r="AQ38" s="56" t="str">
        <f t="shared" si="24"/>
        <v/>
      </c>
    </row>
    <row r="39">
      <c r="A39" s="82"/>
      <c r="B39" s="41">
        <f t="shared" si="3"/>
        <v>0</v>
      </c>
      <c r="C39" s="83"/>
      <c r="D39" s="43" t="str">
        <f>IFERROR(__xludf.DUMMYFUNCTION("GOOGLEFINANCE(A39,""price"")"),"#N/A")</f>
        <v>#N/A</v>
      </c>
      <c r="E39" s="43" t="str">
        <f t="shared" si="4"/>
        <v/>
      </c>
      <c r="F39" s="44" t="str">
        <f t="shared" si="5"/>
        <v/>
      </c>
      <c r="G39" s="64"/>
      <c r="H39" s="61"/>
      <c r="I39" s="61"/>
      <c r="J39" s="61"/>
      <c r="K39" s="61"/>
      <c r="L39" s="61"/>
      <c r="M39" s="61"/>
      <c r="N39" s="61"/>
      <c r="O39" s="61"/>
      <c r="P39" s="62"/>
      <c r="Q39" s="64"/>
      <c r="R39" s="62"/>
      <c r="S39" s="59"/>
      <c r="T39" s="51">
        <v>0.05</v>
      </c>
      <c r="U39" s="60"/>
      <c r="V39" s="53">
        <v>0.8</v>
      </c>
      <c r="W39" s="54">
        <f t="shared" si="6"/>
        <v>0</v>
      </c>
      <c r="X39" s="54">
        <f t="shared" si="7"/>
        <v>0</v>
      </c>
      <c r="Y39" s="54">
        <f t="shared" si="8"/>
        <v>0</v>
      </c>
      <c r="Z39" s="54">
        <f t="shared" si="9"/>
        <v>0</v>
      </c>
      <c r="AA39" s="54">
        <f t="shared" si="10"/>
        <v>0</v>
      </c>
      <c r="AB39" s="54" t="str">
        <f t="shared" si="11"/>
        <v/>
      </c>
      <c r="AC39" s="55" t="str">
        <f t="shared" ref="AC39:AD39" si="93">if(G39="yes",1,"")</f>
        <v/>
      </c>
      <c r="AD39" s="56" t="str">
        <f t="shared" si="93"/>
        <v/>
      </c>
      <c r="AE39" s="56" t="str">
        <f t="shared" si="13"/>
        <v/>
      </c>
      <c r="AF39" s="56" t="str">
        <f t="shared" si="14"/>
        <v/>
      </c>
      <c r="AG39" s="56" t="str">
        <f t="shared" si="15"/>
        <v/>
      </c>
      <c r="AH39" s="56" t="str">
        <f t="shared" si="16"/>
        <v/>
      </c>
      <c r="AI39" s="56" t="str">
        <f t="shared" si="17"/>
        <v/>
      </c>
      <c r="AJ39" s="56" t="str">
        <f t="shared" si="18"/>
        <v/>
      </c>
      <c r="AK39" s="56" t="str">
        <f t="shared" si="19"/>
        <v/>
      </c>
      <c r="AL39" s="56" t="str">
        <f t="shared" si="20"/>
        <v/>
      </c>
      <c r="AM39" s="56" t="str">
        <f t="shared" si="21"/>
        <v/>
      </c>
      <c r="AN39" s="56" t="str">
        <f t="shared" si="22"/>
        <v/>
      </c>
      <c r="AO39" s="56" t="str">
        <f t="shared" ref="AO39:AP39" si="94">if(N39="risk",-1,"")</f>
        <v/>
      </c>
      <c r="AP39" s="56" t="str">
        <f t="shared" si="94"/>
        <v/>
      </c>
      <c r="AQ39" s="56" t="str">
        <f t="shared" si="24"/>
        <v/>
      </c>
    </row>
    <row r="40">
      <c r="A40" s="82"/>
      <c r="B40" s="41">
        <f t="shared" si="3"/>
        <v>0</v>
      </c>
      <c r="C40" s="83"/>
      <c r="D40" s="43" t="str">
        <f>IFERROR(__xludf.DUMMYFUNCTION("GOOGLEFINANCE(A40,""price"")"),"#N/A")</f>
        <v>#N/A</v>
      </c>
      <c r="E40" s="43" t="str">
        <f t="shared" si="4"/>
        <v/>
      </c>
      <c r="F40" s="44" t="str">
        <f t="shared" si="5"/>
        <v/>
      </c>
      <c r="G40" s="64"/>
      <c r="H40" s="61"/>
      <c r="I40" s="61"/>
      <c r="J40" s="61"/>
      <c r="K40" s="61"/>
      <c r="L40" s="61"/>
      <c r="M40" s="61"/>
      <c r="N40" s="61"/>
      <c r="O40" s="61"/>
      <c r="P40" s="62"/>
      <c r="Q40" s="64"/>
      <c r="R40" s="62"/>
      <c r="S40" s="59"/>
      <c r="T40" s="51">
        <v>0.05</v>
      </c>
      <c r="U40" s="60"/>
      <c r="V40" s="53">
        <v>0.8</v>
      </c>
      <c r="W40" s="54">
        <f t="shared" si="6"/>
        <v>0</v>
      </c>
      <c r="X40" s="54">
        <f t="shared" si="7"/>
        <v>0</v>
      </c>
      <c r="Y40" s="54">
        <f t="shared" si="8"/>
        <v>0</v>
      </c>
      <c r="Z40" s="54">
        <f t="shared" si="9"/>
        <v>0</v>
      </c>
      <c r="AA40" s="54">
        <f t="shared" si="10"/>
        <v>0</v>
      </c>
      <c r="AB40" s="54" t="str">
        <f t="shared" si="11"/>
        <v/>
      </c>
      <c r="AC40" s="55" t="str">
        <f t="shared" ref="AC40:AD40" si="95">if(G40="yes",1,"")</f>
        <v/>
      </c>
      <c r="AD40" s="56" t="str">
        <f t="shared" si="95"/>
        <v/>
      </c>
      <c r="AE40" s="56" t="str">
        <f t="shared" si="13"/>
        <v/>
      </c>
      <c r="AF40" s="56" t="str">
        <f t="shared" si="14"/>
        <v/>
      </c>
      <c r="AG40" s="56" t="str">
        <f t="shared" si="15"/>
        <v/>
      </c>
      <c r="AH40" s="56" t="str">
        <f t="shared" si="16"/>
        <v/>
      </c>
      <c r="AI40" s="56" t="str">
        <f t="shared" si="17"/>
        <v/>
      </c>
      <c r="AJ40" s="56" t="str">
        <f t="shared" si="18"/>
        <v/>
      </c>
      <c r="AK40" s="56" t="str">
        <f t="shared" si="19"/>
        <v/>
      </c>
      <c r="AL40" s="56" t="str">
        <f t="shared" si="20"/>
        <v/>
      </c>
      <c r="AM40" s="56" t="str">
        <f t="shared" si="21"/>
        <v/>
      </c>
      <c r="AN40" s="56" t="str">
        <f t="shared" si="22"/>
        <v/>
      </c>
      <c r="AO40" s="56" t="str">
        <f t="shared" ref="AO40:AP40" si="96">if(N40="risk",-1,"")</f>
        <v/>
      </c>
      <c r="AP40" s="56" t="str">
        <f t="shared" si="96"/>
        <v/>
      </c>
      <c r="AQ40" s="56" t="str">
        <f t="shared" si="24"/>
        <v/>
      </c>
    </row>
    <row r="41">
      <c r="A41" s="82"/>
      <c r="B41" s="41">
        <f t="shared" si="3"/>
        <v>0</v>
      </c>
      <c r="C41" s="83"/>
      <c r="D41" s="43" t="str">
        <f>IFERROR(__xludf.DUMMYFUNCTION("GOOGLEFINANCE(A41,""price"")"),"#N/A")</f>
        <v>#N/A</v>
      </c>
      <c r="E41" s="43" t="str">
        <f t="shared" si="4"/>
        <v/>
      </c>
      <c r="F41" s="44" t="str">
        <f t="shared" si="5"/>
        <v/>
      </c>
      <c r="G41" s="64"/>
      <c r="H41" s="61"/>
      <c r="I41" s="61"/>
      <c r="J41" s="61"/>
      <c r="K41" s="61"/>
      <c r="L41" s="61"/>
      <c r="M41" s="61"/>
      <c r="N41" s="61"/>
      <c r="O41" s="61"/>
      <c r="P41" s="62"/>
      <c r="Q41" s="64"/>
      <c r="R41" s="62"/>
      <c r="S41" s="59"/>
      <c r="T41" s="51">
        <v>0.05</v>
      </c>
      <c r="U41" s="60"/>
      <c r="V41" s="53">
        <v>0.8</v>
      </c>
      <c r="W41" s="54">
        <f t="shared" si="6"/>
        <v>0</v>
      </c>
      <c r="X41" s="54">
        <f t="shared" si="7"/>
        <v>0</v>
      </c>
      <c r="Y41" s="54">
        <f t="shared" si="8"/>
        <v>0</v>
      </c>
      <c r="Z41" s="54">
        <f t="shared" si="9"/>
        <v>0</v>
      </c>
      <c r="AA41" s="54">
        <f t="shared" si="10"/>
        <v>0</v>
      </c>
      <c r="AB41" s="54" t="str">
        <f t="shared" si="11"/>
        <v/>
      </c>
      <c r="AC41" s="55" t="str">
        <f t="shared" ref="AC41:AD41" si="97">if(G41="yes",1,"")</f>
        <v/>
      </c>
      <c r="AD41" s="56" t="str">
        <f t="shared" si="97"/>
        <v/>
      </c>
      <c r="AE41" s="56" t="str">
        <f t="shared" si="13"/>
        <v/>
      </c>
      <c r="AF41" s="56" t="str">
        <f t="shared" si="14"/>
        <v/>
      </c>
      <c r="AG41" s="56" t="str">
        <f t="shared" si="15"/>
        <v/>
      </c>
      <c r="AH41" s="56" t="str">
        <f t="shared" si="16"/>
        <v/>
      </c>
      <c r="AI41" s="56" t="str">
        <f t="shared" si="17"/>
        <v/>
      </c>
      <c r="AJ41" s="56" t="str">
        <f t="shared" si="18"/>
        <v/>
      </c>
      <c r="AK41" s="56" t="str">
        <f t="shared" si="19"/>
        <v/>
      </c>
      <c r="AL41" s="56" t="str">
        <f t="shared" si="20"/>
        <v/>
      </c>
      <c r="AM41" s="56" t="str">
        <f t="shared" si="21"/>
        <v/>
      </c>
      <c r="AN41" s="56" t="str">
        <f t="shared" si="22"/>
        <v/>
      </c>
      <c r="AO41" s="56" t="str">
        <f t="shared" ref="AO41:AP41" si="98">if(N41="risk",-1,"")</f>
        <v/>
      </c>
      <c r="AP41" s="56" t="str">
        <f t="shared" si="98"/>
        <v/>
      </c>
      <c r="AQ41" s="56" t="str">
        <f t="shared" si="24"/>
        <v/>
      </c>
    </row>
    <row r="42">
      <c r="A42" s="82"/>
      <c r="B42" s="41">
        <f t="shared" si="3"/>
        <v>0</v>
      </c>
      <c r="C42" s="83"/>
      <c r="D42" s="43" t="str">
        <f>IFERROR(__xludf.DUMMYFUNCTION("GOOGLEFINANCE(A42,""price"")"),"#N/A")</f>
        <v>#N/A</v>
      </c>
      <c r="E42" s="43" t="str">
        <f t="shared" si="4"/>
        <v/>
      </c>
      <c r="F42" s="44" t="str">
        <f t="shared" si="5"/>
        <v/>
      </c>
      <c r="G42" s="64"/>
      <c r="H42" s="61"/>
      <c r="I42" s="61"/>
      <c r="J42" s="61"/>
      <c r="K42" s="61"/>
      <c r="L42" s="61"/>
      <c r="M42" s="61"/>
      <c r="N42" s="61"/>
      <c r="O42" s="61"/>
      <c r="P42" s="62"/>
      <c r="Q42" s="64"/>
      <c r="R42" s="62"/>
      <c r="S42" s="59"/>
      <c r="T42" s="51">
        <v>0.05</v>
      </c>
      <c r="U42" s="60"/>
      <c r="V42" s="53">
        <v>0.8</v>
      </c>
      <c r="W42" s="54">
        <f t="shared" si="6"/>
        <v>0</v>
      </c>
      <c r="X42" s="54">
        <f t="shared" si="7"/>
        <v>0</v>
      </c>
      <c r="Y42" s="54">
        <f t="shared" si="8"/>
        <v>0</v>
      </c>
      <c r="Z42" s="54">
        <f t="shared" si="9"/>
        <v>0</v>
      </c>
      <c r="AA42" s="54">
        <f t="shared" si="10"/>
        <v>0</v>
      </c>
      <c r="AB42" s="54" t="str">
        <f t="shared" si="11"/>
        <v/>
      </c>
      <c r="AC42" s="55" t="str">
        <f t="shared" ref="AC42:AD42" si="99">if(G42="yes",1,"")</f>
        <v/>
      </c>
      <c r="AD42" s="56" t="str">
        <f t="shared" si="99"/>
        <v/>
      </c>
      <c r="AE42" s="56" t="str">
        <f t="shared" si="13"/>
        <v/>
      </c>
      <c r="AF42" s="56" t="str">
        <f t="shared" si="14"/>
        <v/>
      </c>
      <c r="AG42" s="56" t="str">
        <f t="shared" si="15"/>
        <v/>
      </c>
      <c r="AH42" s="56" t="str">
        <f t="shared" si="16"/>
        <v/>
      </c>
      <c r="AI42" s="56" t="str">
        <f t="shared" si="17"/>
        <v/>
      </c>
      <c r="AJ42" s="56" t="str">
        <f t="shared" si="18"/>
        <v/>
      </c>
      <c r="AK42" s="56" t="str">
        <f t="shared" si="19"/>
        <v/>
      </c>
      <c r="AL42" s="56" t="str">
        <f t="shared" si="20"/>
        <v/>
      </c>
      <c r="AM42" s="56" t="str">
        <f t="shared" si="21"/>
        <v/>
      </c>
      <c r="AN42" s="56" t="str">
        <f t="shared" si="22"/>
        <v/>
      </c>
      <c r="AO42" s="56" t="str">
        <f t="shared" ref="AO42:AP42" si="100">if(N42="risk",-1,"")</f>
        <v/>
      </c>
      <c r="AP42" s="56" t="str">
        <f t="shared" si="100"/>
        <v/>
      </c>
      <c r="AQ42" s="56" t="str">
        <f t="shared" si="24"/>
        <v/>
      </c>
    </row>
    <row r="43">
      <c r="A43" s="82"/>
      <c r="B43" s="41">
        <f t="shared" si="3"/>
        <v>0</v>
      </c>
      <c r="C43" s="83"/>
      <c r="D43" s="43" t="str">
        <f>IFERROR(__xludf.DUMMYFUNCTION("GOOGLEFINANCE(A43,""price"")"),"#N/A")</f>
        <v>#N/A</v>
      </c>
      <c r="E43" s="43" t="str">
        <f t="shared" si="4"/>
        <v/>
      </c>
      <c r="F43" s="44" t="str">
        <f t="shared" si="5"/>
        <v/>
      </c>
      <c r="G43" s="64"/>
      <c r="H43" s="61"/>
      <c r="I43" s="61"/>
      <c r="J43" s="61"/>
      <c r="K43" s="61"/>
      <c r="L43" s="61"/>
      <c r="M43" s="61"/>
      <c r="N43" s="61"/>
      <c r="O43" s="61"/>
      <c r="P43" s="62"/>
      <c r="Q43" s="64"/>
      <c r="R43" s="62"/>
      <c r="S43" s="59"/>
      <c r="T43" s="51">
        <v>0.05</v>
      </c>
      <c r="U43" s="60"/>
      <c r="V43" s="53">
        <v>0.8</v>
      </c>
      <c r="W43" s="54">
        <f t="shared" si="6"/>
        <v>0</v>
      </c>
      <c r="X43" s="54">
        <f t="shared" si="7"/>
        <v>0</v>
      </c>
      <c r="Y43" s="54">
        <f t="shared" si="8"/>
        <v>0</v>
      </c>
      <c r="Z43" s="54">
        <f t="shared" si="9"/>
        <v>0</v>
      </c>
      <c r="AA43" s="54">
        <f t="shared" si="10"/>
        <v>0</v>
      </c>
      <c r="AB43" s="54" t="str">
        <f t="shared" si="11"/>
        <v/>
      </c>
      <c r="AC43" s="55" t="str">
        <f t="shared" ref="AC43:AD43" si="101">if(G43="yes",1,"")</f>
        <v/>
      </c>
      <c r="AD43" s="56" t="str">
        <f t="shared" si="101"/>
        <v/>
      </c>
      <c r="AE43" s="56" t="str">
        <f t="shared" si="13"/>
        <v/>
      </c>
      <c r="AF43" s="56" t="str">
        <f t="shared" si="14"/>
        <v/>
      </c>
      <c r="AG43" s="56" t="str">
        <f t="shared" si="15"/>
        <v/>
      </c>
      <c r="AH43" s="56" t="str">
        <f t="shared" si="16"/>
        <v/>
      </c>
      <c r="AI43" s="56" t="str">
        <f t="shared" si="17"/>
        <v/>
      </c>
      <c r="AJ43" s="56" t="str">
        <f t="shared" si="18"/>
        <v/>
      </c>
      <c r="AK43" s="56" t="str">
        <f t="shared" si="19"/>
        <v/>
      </c>
      <c r="AL43" s="56" t="str">
        <f t="shared" si="20"/>
        <v/>
      </c>
      <c r="AM43" s="56" t="str">
        <f t="shared" si="21"/>
        <v/>
      </c>
      <c r="AN43" s="56" t="str">
        <f t="shared" si="22"/>
        <v/>
      </c>
      <c r="AO43" s="56" t="str">
        <f t="shared" ref="AO43:AP43" si="102">if(N43="risk",-1,"")</f>
        <v/>
      </c>
      <c r="AP43" s="56" t="str">
        <f t="shared" si="102"/>
        <v/>
      </c>
      <c r="AQ43" s="56" t="str">
        <f t="shared" si="24"/>
        <v/>
      </c>
    </row>
    <row r="44">
      <c r="A44" s="82"/>
      <c r="B44" s="41">
        <f t="shared" si="3"/>
        <v>0</v>
      </c>
      <c r="C44" s="83"/>
      <c r="D44" s="43" t="str">
        <f>IFERROR(__xludf.DUMMYFUNCTION("GOOGLEFINANCE(A44,""price"")"),"#N/A")</f>
        <v>#N/A</v>
      </c>
      <c r="E44" s="43" t="str">
        <f t="shared" si="4"/>
        <v/>
      </c>
      <c r="F44" s="44" t="str">
        <f t="shared" si="5"/>
        <v/>
      </c>
      <c r="G44" s="64"/>
      <c r="H44" s="61"/>
      <c r="I44" s="61"/>
      <c r="J44" s="61"/>
      <c r="K44" s="61"/>
      <c r="L44" s="61"/>
      <c r="M44" s="61"/>
      <c r="N44" s="61"/>
      <c r="O44" s="61"/>
      <c r="P44" s="62"/>
      <c r="Q44" s="64"/>
      <c r="R44" s="62"/>
      <c r="S44" s="59"/>
      <c r="T44" s="51">
        <v>0.05</v>
      </c>
      <c r="U44" s="60"/>
      <c r="V44" s="53">
        <v>0.8</v>
      </c>
      <c r="W44" s="54">
        <f t="shared" si="6"/>
        <v>0</v>
      </c>
      <c r="X44" s="54">
        <f t="shared" si="7"/>
        <v>0</v>
      </c>
      <c r="Y44" s="54">
        <f t="shared" si="8"/>
        <v>0</v>
      </c>
      <c r="Z44" s="54">
        <f t="shared" si="9"/>
        <v>0</v>
      </c>
      <c r="AA44" s="54">
        <f t="shared" si="10"/>
        <v>0</v>
      </c>
      <c r="AB44" s="54" t="str">
        <f t="shared" si="11"/>
        <v/>
      </c>
      <c r="AC44" s="55" t="str">
        <f t="shared" ref="AC44:AD44" si="103">if(G44="yes",1,"")</f>
        <v/>
      </c>
      <c r="AD44" s="56" t="str">
        <f t="shared" si="103"/>
        <v/>
      </c>
      <c r="AE44" s="56" t="str">
        <f t="shared" si="13"/>
        <v/>
      </c>
      <c r="AF44" s="56" t="str">
        <f t="shared" si="14"/>
        <v/>
      </c>
      <c r="AG44" s="56" t="str">
        <f t="shared" si="15"/>
        <v/>
      </c>
      <c r="AH44" s="56" t="str">
        <f t="shared" si="16"/>
        <v/>
      </c>
      <c r="AI44" s="56" t="str">
        <f t="shared" si="17"/>
        <v/>
      </c>
      <c r="AJ44" s="56" t="str">
        <f t="shared" si="18"/>
        <v/>
      </c>
      <c r="AK44" s="56" t="str">
        <f t="shared" si="19"/>
        <v/>
      </c>
      <c r="AL44" s="56" t="str">
        <f t="shared" si="20"/>
        <v/>
      </c>
      <c r="AM44" s="56" t="str">
        <f t="shared" si="21"/>
        <v/>
      </c>
      <c r="AN44" s="56" t="str">
        <f t="shared" si="22"/>
        <v/>
      </c>
      <c r="AO44" s="56" t="str">
        <f t="shared" ref="AO44:AP44" si="104">if(N44="risk",-1,"")</f>
        <v/>
      </c>
      <c r="AP44" s="56" t="str">
        <f t="shared" si="104"/>
        <v/>
      </c>
      <c r="AQ44" s="56" t="str">
        <f t="shared" si="24"/>
        <v/>
      </c>
    </row>
    <row r="45">
      <c r="A45" s="82"/>
      <c r="B45" s="41">
        <f t="shared" si="3"/>
        <v>0</v>
      </c>
      <c r="C45" s="83"/>
      <c r="D45" s="43" t="str">
        <f>IFERROR(__xludf.DUMMYFUNCTION("GOOGLEFINANCE(A45,""price"")"),"#N/A")</f>
        <v>#N/A</v>
      </c>
      <c r="E45" s="43" t="str">
        <f t="shared" si="4"/>
        <v/>
      </c>
      <c r="F45" s="44" t="str">
        <f t="shared" si="5"/>
        <v/>
      </c>
      <c r="G45" s="64"/>
      <c r="H45" s="61"/>
      <c r="I45" s="61"/>
      <c r="J45" s="61"/>
      <c r="K45" s="61"/>
      <c r="L45" s="61"/>
      <c r="M45" s="61"/>
      <c r="N45" s="61"/>
      <c r="O45" s="61"/>
      <c r="P45" s="62"/>
      <c r="Q45" s="64"/>
      <c r="R45" s="62"/>
      <c r="S45" s="59"/>
      <c r="T45" s="51">
        <v>0.05</v>
      </c>
      <c r="U45" s="60"/>
      <c r="V45" s="53">
        <v>0.8</v>
      </c>
      <c r="W45" s="54">
        <f t="shared" si="6"/>
        <v>0</v>
      </c>
      <c r="X45" s="54">
        <f t="shared" si="7"/>
        <v>0</v>
      </c>
      <c r="Y45" s="54">
        <f t="shared" si="8"/>
        <v>0</v>
      </c>
      <c r="Z45" s="54">
        <f t="shared" si="9"/>
        <v>0</v>
      </c>
      <c r="AA45" s="54">
        <f t="shared" si="10"/>
        <v>0</v>
      </c>
      <c r="AB45" s="54" t="str">
        <f t="shared" si="11"/>
        <v/>
      </c>
      <c r="AC45" s="55" t="str">
        <f t="shared" ref="AC45:AD45" si="105">if(G45="yes",1,"")</f>
        <v/>
      </c>
      <c r="AD45" s="56" t="str">
        <f t="shared" si="105"/>
        <v/>
      </c>
      <c r="AE45" s="56" t="str">
        <f t="shared" si="13"/>
        <v/>
      </c>
      <c r="AF45" s="56" t="str">
        <f t="shared" si="14"/>
        <v/>
      </c>
      <c r="AG45" s="56" t="str">
        <f t="shared" si="15"/>
        <v/>
      </c>
      <c r="AH45" s="56" t="str">
        <f t="shared" si="16"/>
        <v/>
      </c>
      <c r="AI45" s="56" t="str">
        <f t="shared" si="17"/>
        <v/>
      </c>
      <c r="AJ45" s="56" t="str">
        <f t="shared" si="18"/>
        <v/>
      </c>
      <c r="AK45" s="56" t="str">
        <f t="shared" si="19"/>
        <v/>
      </c>
      <c r="AL45" s="56" t="str">
        <f t="shared" si="20"/>
        <v/>
      </c>
      <c r="AM45" s="56" t="str">
        <f t="shared" si="21"/>
        <v/>
      </c>
      <c r="AN45" s="56" t="str">
        <f t="shared" si="22"/>
        <v/>
      </c>
      <c r="AO45" s="56" t="str">
        <f t="shared" ref="AO45:AP45" si="106">if(N45="risk",-1,"")</f>
        <v/>
      </c>
      <c r="AP45" s="56" t="str">
        <f t="shared" si="106"/>
        <v/>
      </c>
      <c r="AQ45" s="56" t="str">
        <f t="shared" si="24"/>
        <v/>
      </c>
    </row>
    <row r="46">
      <c r="A46" s="82"/>
      <c r="B46" s="41">
        <f t="shared" si="3"/>
        <v>0</v>
      </c>
      <c r="C46" s="83"/>
      <c r="D46" s="43" t="str">
        <f>IFERROR(__xludf.DUMMYFUNCTION("GOOGLEFINANCE(A46,""price"")"),"#N/A")</f>
        <v>#N/A</v>
      </c>
      <c r="E46" s="43" t="str">
        <f t="shared" si="4"/>
        <v/>
      </c>
      <c r="F46" s="44" t="str">
        <f t="shared" si="5"/>
        <v/>
      </c>
      <c r="G46" s="64"/>
      <c r="H46" s="61"/>
      <c r="I46" s="61"/>
      <c r="J46" s="61"/>
      <c r="K46" s="61"/>
      <c r="L46" s="61"/>
      <c r="M46" s="61"/>
      <c r="N46" s="61"/>
      <c r="O46" s="61"/>
      <c r="P46" s="62"/>
      <c r="Q46" s="64"/>
      <c r="R46" s="62"/>
      <c r="S46" s="59"/>
      <c r="T46" s="51">
        <v>0.05</v>
      </c>
      <c r="U46" s="60"/>
      <c r="V46" s="53">
        <v>0.8</v>
      </c>
      <c r="W46" s="54">
        <f t="shared" si="6"/>
        <v>0</v>
      </c>
      <c r="X46" s="54">
        <f t="shared" si="7"/>
        <v>0</v>
      </c>
      <c r="Y46" s="54">
        <f t="shared" si="8"/>
        <v>0</v>
      </c>
      <c r="Z46" s="54">
        <f t="shared" si="9"/>
        <v>0</v>
      </c>
      <c r="AA46" s="54">
        <f t="shared" si="10"/>
        <v>0</v>
      </c>
      <c r="AB46" s="54" t="str">
        <f t="shared" si="11"/>
        <v/>
      </c>
      <c r="AC46" s="55" t="str">
        <f t="shared" ref="AC46:AD46" si="107">if(G46="yes",1,"")</f>
        <v/>
      </c>
      <c r="AD46" s="56" t="str">
        <f t="shared" si="107"/>
        <v/>
      </c>
      <c r="AE46" s="56" t="str">
        <f t="shared" si="13"/>
        <v/>
      </c>
      <c r="AF46" s="56" t="str">
        <f t="shared" si="14"/>
        <v/>
      </c>
      <c r="AG46" s="56" t="str">
        <f t="shared" si="15"/>
        <v/>
      </c>
      <c r="AH46" s="56" t="str">
        <f t="shared" si="16"/>
        <v/>
      </c>
      <c r="AI46" s="56" t="str">
        <f t="shared" si="17"/>
        <v/>
      </c>
      <c r="AJ46" s="56" t="str">
        <f t="shared" si="18"/>
        <v/>
      </c>
      <c r="AK46" s="56" t="str">
        <f t="shared" si="19"/>
        <v/>
      </c>
      <c r="AL46" s="56" t="str">
        <f t="shared" si="20"/>
        <v/>
      </c>
      <c r="AM46" s="56" t="str">
        <f t="shared" si="21"/>
        <v/>
      </c>
      <c r="AN46" s="56" t="str">
        <f t="shared" si="22"/>
        <v/>
      </c>
      <c r="AO46" s="56" t="str">
        <f t="shared" ref="AO46:AP46" si="108">if(N46="risk",-1,"")</f>
        <v/>
      </c>
      <c r="AP46" s="56" t="str">
        <f t="shared" si="108"/>
        <v/>
      </c>
      <c r="AQ46" s="56" t="str">
        <f t="shared" si="24"/>
        <v/>
      </c>
    </row>
    <row r="47">
      <c r="A47" s="82"/>
      <c r="B47" s="41">
        <f t="shared" si="3"/>
        <v>0</v>
      </c>
      <c r="C47" s="83"/>
      <c r="D47" s="43" t="str">
        <f>IFERROR(__xludf.DUMMYFUNCTION("GOOGLEFINANCE(A47,""price"")"),"#N/A")</f>
        <v>#N/A</v>
      </c>
      <c r="E47" s="43" t="str">
        <f t="shared" si="4"/>
        <v/>
      </c>
      <c r="F47" s="44" t="str">
        <f t="shared" si="5"/>
        <v/>
      </c>
      <c r="G47" s="64"/>
      <c r="H47" s="61"/>
      <c r="I47" s="61"/>
      <c r="J47" s="61"/>
      <c r="K47" s="61"/>
      <c r="L47" s="61"/>
      <c r="M47" s="61"/>
      <c r="N47" s="61"/>
      <c r="O47" s="61"/>
      <c r="P47" s="62"/>
      <c r="Q47" s="64"/>
      <c r="R47" s="62"/>
      <c r="S47" s="59"/>
      <c r="T47" s="51">
        <v>0.05</v>
      </c>
      <c r="U47" s="60"/>
      <c r="V47" s="53">
        <v>0.8</v>
      </c>
      <c r="W47" s="54">
        <f t="shared" si="6"/>
        <v>0</v>
      </c>
      <c r="X47" s="54">
        <f t="shared" si="7"/>
        <v>0</v>
      </c>
      <c r="Y47" s="54">
        <f t="shared" si="8"/>
        <v>0</v>
      </c>
      <c r="Z47" s="54">
        <f t="shared" si="9"/>
        <v>0</v>
      </c>
      <c r="AA47" s="54">
        <f t="shared" si="10"/>
        <v>0</v>
      </c>
      <c r="AB47" s="54" t="str">
        <f t="shared" si="11"/>
        <v/>
      </c>
      <c r="AC47" s="55" t="str">
        <f t="shared" ref="AC47:AD47" si="109">if(G47="yes",1,"")</f>
        <v/>
      </c>
      <c r="AD47" s="56" t="str">
        <f t="shared" si="109"/>
        <v/>
      </c>
      <c r="AE47" s="56" t="str">
        <f t="shared" si="13"/>
        <v/>
      </c>
      <c r="AF47" s="56" t="str">
        <f t="shared" si="14"/>
        <v/>
      </c>
      <c r="AG47" s="56" t="str">
        <f t="shared" si="15"/>
        <v/>
      </c>
      <c r="AH47" s="56" t="str">
        <f t="shared" si="16"/>
        <v/>
      </c>
      <c r="AI47" s="56" t="str">
        <f t="shared" si="17"/>
        <v/>
      </c>
      <c r="AJ47" s="56" t="str">
        <f t="shared" si="18"/>
        <v/>
      </c>
      <c r="AK47" s="56" t="str">
        <f t="shared" si="19"/>
        <v/>
      </c>
      <c r="AL47" s="56" t="str">
        <f t="shared" si="20"/>
        <v/>
      </c>
      <c r="AM47" s="56" t="str">
        <f t="shared" si="21"/>
        <v/>
      </c>
      <c r="AN47" s="56" t="str">
        <f t="shared" si="22"/>
        <v/>
      </c>
      <c r="AO47" s="56" t="str">
        <f t="shared" ref="AO47:AP47" si="110">if(N47="risk",-1,"")</f>
        <v/>
      </c>
      <c r="AP47" s="56" t="str">
        <f t="shared" si="110"/>
        <v/>
      </c>
      <c r="AQ47" s="56" t="str">
        <f t="shared" si="24"/>
        <v/>
      </c>
    </row>
    <row r="48">
      <c r="A48" s="82"/>
      <c r="B48" s="41">
        <f t="shared" si="3"/>
        <v>0</v>
      </c>
      <c r="C48" s="83"/>
      <c r="D48" s="43" t="str">
        <f>IFERROR(__xludf.DUMMYFUNCTION("GOOGLEFINANCE(A48,""price"")"),"#N/A")</f>
        <v>#N/A</v>
      </c>
      <c r="E48" s="43" t="str">
        <f t="shared" si="4"/>
        <v/>
      </c>
      <c r="F48" s="44" t="str">
        <f t="shared" si="5"/>
        <v/>
      </c>
      <c r="G48" s="64"/>
      <c r="H48" s="61"/>
      <c r="I48" s="61"/>
      <c r="J48" s="61"/>
      <c r="K48" s="61"/>
      <c r="L48" s="61"/>
      <c r="M48" s="61"/>
      <c r="N48" s="61"/>
      <c r="O48" s="61"/>
      <c r="P48" s="62"/>
      <c r="Q48" s="64"/>
      <c r="R48" s="62"/>
      <c r="S48" s="59"/>
      <c r="T48" s="51">
        <v>0.05</v>
      </c>
      <c r="U48" s="60"/>
      <c r="V48" s="53">
        <v>0.8</v>
      </c>
      <c r="W48" s="54">
        <f t="shared" si="6"/>
        <v>0</v>
      </c>
      <c r="X48" s="54">
        <f t="shared" si="7"/>
        <v>0</v>
      </c>
      <c r="Y48" s="54">
        <f t="shared" si="8"/>
        <v>0</v>
      </c>
      <c r="Z48" s="54">
        <f t="shared" si="9"/>
        <v>0</v>
      </c>
      <c r="AA48" s="54">
        <f t="shared" si="10"/>
        <v>0</v>
      </c>
      <c r="AB48" s="54" t="str">
        <f t="shared" si="11"/>
        <v/>
      </c>
      <c r="AC48" s="55" t="str">
        <f t="shared" ref="AC48:AD48" si="111">if(G48="yes",1,"")</f>
        <v/>
      </c>
      <c r="AD48" s="56" t="str">
        <f t="shared" si="111"/>
        <v/>
      </c>
      <c r="AE48" s="56" t="str">
        <f t="shared" si="13"/>
        <v/>
      </c>
      <c r="AF48" s="56" t="str">
        <f t="shared" si="14"/>
        <v/>
      </c>
      <c r="AG48" s="56" t="str">
        <f t="shared" si="15"/>
        <v/>
      </c>
      <c r="AH48" s="56" t="str">
        <f t="shared" si="16"/>
        <v/>
      </c>
      <c r="AI48" s="56" t="str">
        <f t="shared" si="17"/>
        <v/>
      </c>
      <c r="AJ48" s="56" t="str">
        <f t="shared" si="18"/>
        <v/>
      </c>
      <c r="AK48" s="56" t="str">
        <f t="shared" si="19"/>
        <v/>
      </c>
      <c r="AL48" s="56" t="str">
        <f t="shared" si="20"/>
        <v/>
      </c>
      <c r="AM48" s="56" t="str">
        <f t="shared" si="21"/>
        <v/>
      </c>
      <c r="AN48" s="56" t="str">
        <f t="shared" si="22"/>
        <v/>
      </c>
      <c r="AO48" s="56" t="str">
        <f t="shared" ref="AO48:AP48" si="112">if(N48="risk",-1,"")</f>
        <v/>
      </c>
      <c r="AP48" s="56" t="str">
        <f t="shared" si="112"/>
        <v/>
      </c>
      <c r="AQ48" s="56" t="str">
        <f t="shared" si="24"/>
        <v/>
      </c>
    </row>
    <row r="49">
      <c r="A49" s="82"/>
      <c r="B49" s="41">
        <f t="shared" si="3"/>
        <v>0</v>
      </c>
      <c r="C49" s="83"/>
      <c r="D49" s="43" t="str">
        <f>IFERROR(__xludf.DUMMYFUNCTION("GOOGLEFINANCE(A49,""price"")"),"#N/A")</f>
        <v>#N/A</v>
      </c>
      <c r="E49" s="43" t="str">
        <f t="shared" si="4"/>
        <v/>
      </c>
      <c r="F49" s="44" t="str">
        <f t="shared" si="5"/>
        <v/>
      </c>
      <c r="G49" s="64"/>
      <c r="H49" s="61"/>
      <c r="I49" s="61"/>
      <c r="J49" s="61"/>
      <c r="K49" s="61"/>
      <c r="L49" s="61"/>
      <c r="M49" s="61"/>
      <c r="N49" s="61"/>
      <c r="O49" s="61"/>
      <c r="P49" s="62"/>
      <c r="Q49" s="64"/>
      <c r="R49" s="62"/>
      <c r="S49" s="59"/>
      <c r="T49" s="51">
        <v>0.05</v>
      </c>
      <c r="U49" s="60"/>
      <c r="V49" s="53">
        <v>0.8</v>
      </c>
      <c r="W49" s="54">
        <f t="shared" si="6"/>
        <v>0</v>
      </c>
      <c r="X49" s="54">
        <f t="shared" si="7"/>
        <v>0</v>
      </c>
      <c r="Y49" s="54">
        <f t="shared" si="8"/>
        <v>0</v>
      </c>
      <c r="Z49" s="54">
        <f t="shared" si="9"/>
        <v>0</v>
      </c>
      <c r="AA49" s="54">
        <f t="shared" si="10"/>
        <v>0</v>
      </c>
      <c r="AB49" s="54" t="str">
        <f t="shared" si="11"/>
        <v/>
      </c>
      <c r="AC49" s="55" t="str">
        <f t="shared" ref="AC49:AD49" si="113">if(G49="yes",1,"")</f>
        <v/>
      </c>
      <c r="AD49" s="56" t="str">
        <f t="shared" si="113"/>
        <v/>
      </c>
      <c r="AE49" s="56" t="str">
        <f t="shared" si="13"/>
        <v/>
      </c>
      <c r="AF49" s="56" t="str">
        <f t="shared" si="14"/>
        <v/>
      </c>
      <c r="AG49" s="56" t="str">
        <f t="shared" si="15"/>
        <v/>
      </c>
      <c r="AH49" s="56" t="str">
        <f t="shared" si="16"/>
        <v/>
      </c>
      <c r="AI49" s="56" t="str">
        <f t="shared" si="17"/>
        <v/>
      </c>
      <c r="AJ49" s="56" t="str">
        <f t="shared" si="18"/>
        <v/>
      </c>
      <c r="AK49" s="56" t="str">
        <f t="shared" si="19"/>
        <v/>
      </c>
      <c r="AL49" s="56" t="str">
        <f t="shared" si="20"/>
        <v/>
      </c>
      <c r="AM49" s="56" t="str">
        <f t="shared" si="21"/>
        <v/>
      </c>
      <c r="AN49" s="56" t="str">
        <f t="shared" si="22"/>
        <v/>
      </c>
      <c r="AO49" s="56" t="str">
        <f t="shared" ref="AO49:AP49" si="114">if(N49="risk",-1,"")</f>
        <v/>
      </c>
      <c r="AP49" s="56" t="str">
        <f t="shared" si="114"/>
        <v/>
      </c>
      <c r="AQ49" s="56" t="str">
        <f t="shared" si="24"/>
        <v/>
      </c>
    </row>
    <row r="50">
      <c r="A50" s="82"/>
      <c r="B50" s="41">
        <f t="shared" si="3"/>
        <v>0</v>
      </c>
      <c r="C50" s="83"/>
      <c r="D50" s="43" t="str">
        <f>IFERROR(__xludf.DUMMYFUNCTION("GOOGLEFINANCE(A50,""price"")"),"#N/A")</f>
        <v>#N/A</v>
      </c>
      <c r="E50" s="43" t="str">
        <f t="shared" si="4"/>
        <v/>
      </c>
      <c r="F50" s="44" t="str">
        <f t="shared" si="5"/>
        <v/>
      </c>
      <c r="G50" s="64"/>
      <c r="H50" s="61"/>
      <c r="I50" s="61"/>
      <c r="J50" s="61"/>
      <c r="K50" s="61"/>
      <c r="L50" s="61"/>
      <c r="M50" s="61"/>
      <c r="N50" s="61"/>
      <c r="O50" s="61"/>
      <c r="P50" s="62"/>
      <c r="Q50" s="64"/>
      <c r="R50" s="62"/>
      <c r="S50" s="59"/>
      <c r="T50" s="51">
        <v>0.05</v>
      </c>
      <c r="U50" s="60"/>
      <c r="V50" s="53">
        <v>0.8</v>
      </c>
      <c r="W50" s="54">
        <f t="shared" si="6"/>
        <v>0</v>
      </c>
      <c r="X50" s="54">
        <f t="shared" si="7"/>
        <v>0</v>
      </c>
      <c r="Y50" s="54">
        <f t="shared" si="8"/>
        <v>0</v>
      </c>
      <c r="Z50" s="54">
        <f t="shared" si="9"/>
        <v>0</v>
      </c>
      <c r="AA50" s="54">
        <f t="shared" si="10"/>
        <v>0</v>
      </c>
      <c r="AB50" s="54" t="str">
        <f t="shared" si="11"/>
        <v/>
      </c>
      <c r="AC50" s="55" t="str">
        <f t="shared" ref="AC50:AD50" si="115">if(G50="yes",1,"")</f>
        <v/>
      </c>
      <c r="AD50" s="56" t="str">
        <f t="shared" si="115"/>
        <v/>
      </c>
      <c r="AE50" s="56" t="str">
        <f t="shared" si="13"/>
        <v/>
      </c>
      <c r="AF50" s="56" t="str">
        <f t="shared" si="14"/>
        <v/>
      </c>
      <c r="AG50" s="56" t="str">
        <f t="shared" si="15"/>
        <v/>
      </c>
      <c r="AH50" s="56" t="str">
        <f t="shared" si="16"/>
        <v/>
      </c>
      <c r="AI50" s="56" t="str">
        <f t="shared" si="17"/>
        <v/>
      </c>
      <c r="AJ50" s="56" t="str">
        <f t="shared" si="18"/>
        <v/>
      </c>
      <c r="AK50" s="56" t="str">
        <f t="shared" si="19"/>
        <v/>
      </c>
      <c r="AL50" s="56" t="str">
        <f t="shared" si="20"/>
        <v/>
      </c>
      <c r="AM50" s="56" t="str">
        <f t="shared" si="21"/>
        <v/>
      </c>
      <c r="AN50" s="56" t="str">
        <f t="shared" si="22"/>
        <v/>
      </c>
      <c r="AO50" s="56" t="str">
        <f t="shared" ref="AO50:AP50" si="116">if(N50="risk",-1,"")</f>
        <v/>
      </c>
      <c r="AP50" s="56" t="str">
        <f t="shared" si="116"/>
        <v/>
      </c>
      <c r="AQ50" s="56" t="str">
        <f t="shared" si="24"/>
        <v/>
      </c>
    </row>
    <row r="51">
      <c r="A51" s="82"/>
      <c r="B51" s="41">
        <f t="shared" si="3"/>
        <v>0</v>
      </c>
      <c r="C51" s="83"/>
      <c r="D51" s="43" t="str">
        <f>IFERROR(__xludf.DUMMYFUNCTION("GOOGLEFINANCE(A51,""price"")"),"#N/A")</f>
        <v>#N/A</v>
      </c>
      <c r="E51" s="43" t="str">
        <f t="shared" si="4"/>
        <v/>
      </c>
      <c r="F51" s="44" t="str">
        <f t="shared" si="5"/>
        <v/>
      </c>
      <c r="G51" s="64"/>
      <c r="H51" s="61"/>
      <c r="I51" s="61"/>
      <c r="J51" s="61"/>
      <c r="K51" s="61"/>
      <c r="L51" s="61"/>
      <c r="M51" s="61"/>
      <c r="N51" s="61"/>
      <c r="O51" s="61"/>
      <c r="P51" s="62"/>
      <c r="Q51" s="64"/>
      <c r="R51" s="62"/>
      <c r="S51" s="59"/>
      <c r="T51" s="51">
        <v>0.05</v>
      </c>
      <c r="U51" s="60"/>
      <c r="V51" s="53">
        <v>0.8</v>
      </c>
      <c r="W51" s="54">
        <f t="shared" si="6"/>
        <v>0</v>
      </c>
      <c r="X51" s="54">
        <f t="shared" si="7"/>
        <v>0</v>
      </c>
      <c r="Y51" s="54">
        <f t="shared" si="8"/>
        <v>0</v>
      </c>
      <c r="Z51" s="54">
        <f t="shared" si="9"/>
        <v>0</v>
      </c>
      <c r="AA51" s="54">
        <f t="shared" si="10"/>
        <v>0</v>
      </c>
      <c r="AB51" s="54" t="str">
        <f t="shared" si="11"/>
        <v/>
      </c>
      <c r="AC51" s="55" t="str">
        <f t="shared" ref="AC51:AD51" si="117">if(G51="yes",1,"")</f>
        <v/>
      </c>
      <c r="AD51" s="56" t="str">
        <f t="shared" si="117"/>
        <v/>
      </c>
      <c r="AE51" s="56" t="str">
        <f t="shared" si="13"/>
        <v/>
      </c>
      <c r="AF51" s="56" t="str">
        <f t="shared" si="14"/>
        <v/>
      </c>
      <c r="AG51" s="56" t="str">
        <f t="shared" si="15"/>
        <v/>
      </c>
      <c r="AH51" s="56" t="str">
        <f t="shared" si="16"/>
        <v/>
      </c>
      <c r="AI51" s="56" t="str">
        <f t="shared" si="17"/>
        <v/>
      </c>
      <c r="AJ51" s="56" t="str">
        <f t="shared" si="18"/>
        <v/>
      </c>
      <c r="AK51" s="56" t="str">
        <f t="shared" si="19"/>
        <v/>
      </c>
      <c r="AL51" s="56" t="str">
        <f t="shared" si="20"/>
        <v/>
      </c>
      <c r="AM51" s="56" t="str">
        <f t="shared" si="21"/>
        <v/>
      </c>
      <c r="AN51" s="56" t="str">
        <f t="shared" si="22"/>
        <v/>
      </c>
      <c r="AO51" s="56" t="str">
        <f t="shared" ref="AO51:AP51" si="118">if(N51="risk",-1,"")</f>
        <v/>
      </c>
      <c r="AP51" s="56" t="str">
        <f t="shared" si="118"/>
        <v/>
      </c>
      <c r="AQ51" s="56" t="str">
        <f t="shared" si="24"/>
        <v/>
      </c>
    </row>
    <row r="52">
      <c r="A52" s="82"/>
      <c r="B52" s="41">
        <f t="shared" si="3"/>
        <v>0</v>
      </c>
      <c r="C52" s="83"/>
      <c r="D52" s="43" t="str">
        <f>IFERROR(__xludf.DUMMYFUNCTION("GOOGLEFINANCE(A52,""price"")"),"#N/A")</f>
        <v>#N/A</v>
      </c>
      <c r="E52" s="43" t="str">
        <f t="shared" si="4"/>
        <v/>
      </c>
      <c r="F52" s="44" t="str">
        <f t="shared" si="5"/>
        <v/>
      </c>
      <c r="G52" s="64"/>
      <c r="H52" s="61"/>
      <c r="I52" s="61"/>
      <c r="J52" s="61"/>
      <c r="K52" s="61"/>
      <c r="L52" s="61"/>
      <c r="M52" s="61"/>
      <c r="N52" s="61"/>
      <c r="O52" s="61"/>
      <c r="P52" s="62"/>
      <c r="Q52" s="64"/>
      <c r="R52" s="62"/>
      <c r="S52" s="59"/>
      <c r="T52" s="51">
        <v>0.05</v>
      </c>
      <c r="U52" s="60"/>
      <c r="V52" s="53">
        <v>0.8</v>
      </c>
      <c r="W52" s="54">
        <f t="shared" si="6"/>
        <v>0</v>
      </c>
      <c r="X52" s="54">
        <f t="shared" si="7"/>
        <v>0</v>
      </c>
      <c r="Y52" s="54">
        <f t="shared" si="8"/>
        <v>0</v>
      </c>
      <c r="Z52" s="54">
        <f t="shared" si="9"/>
        <v>0</v>
      </c>
      <c r="AA52" s="54">
        <f t="shared" si="10"/>
        <v>0</v>
      </c>
      <c r="AB52" s="54" t="str">
        <f t="shared" si="11"/>
        <v/>
      </c>
      <c r="AC52" s="55" t="str">
        <f t="shared" ref="AC52:AD52" si="119">if(G52="yes",1,"")</f>
        <v/>
      </c>
      <c r="AD52" s="56" t="str">
        <f t="shared" si="119"/>
        <v/>
      </c>
      <c r="AE52" s="56" t="str">
        <f t="shared" si="13"/>
        <v/>
      </c>
      <c r="AF52" s="56" t="str">
        <f t="shared" si="14"/>
        <v/>
      </c>
      <c r="AG52" s="56" t="str">
        <f t="shared" si="15"/>
        <v/>
      </c>
      <c r="AH52" s="56" t="str">
        <f t="shared" si="16"/>
        <v/>
      </c>
      <c r="AI52" s="56" t="str">
        <f t="shared" si="17"/>
        <v/>
      </c>
      <c r="AJ52" s="56" t="str">
        <f t="shared" si="18"/>
        <v/>
      </c>
      <c r="AK52" s="56" t="str">
        <f t="shared" si="19"/>
        <v/>
      </c>
      <c r="AL52" s="56" t="str">
        <f t="shared" si="20"/>
        <v/>
      </c>
      <c r="AM52" s="56" t="str">
        <f t="shared" si="21"/>
        <v/>
      </c>
      <c r="AN52" s="56" t="str">
        <f t="shared" si="22"/>
        <v/>
      </c>
      <c r="AO52" s="56" t="str">
        <f t="shared" ref="AO52:AP52" si="120">if(N52="risk",-1,"")</f>
        <v/>
      </c>
      <c r="AP52" s="56" t="str">
        <f t="shared" si="120"/>
        <v/>
      </c>
      <c r="AQ52" s="56" t="str">
        <f t="shared" si="24"/>
        <v/>
      </c>
    </row>
    <row r="53">
      <c r="A53" s="82"/>
      <c r="B53" s="41">
        <f t="shared" si="3"/>
        <v>0</v>
      </c>
      <c r="C53" s="83"/>
      <c r="D53" s="43" t="str">
        <f>IFERROR(__xludf.DUMMYFUNCTION("GOOGLEFINANCE(A53,""price"")"),"#N/A")</f>
        <v>#N/A</v>
      </c>
      <c r="E53" s="43" t="str">
        <f t="shared" si="4"/>
        <v/>
      </c>
      <c r="F53" s="44" t="str">
        <f t="shared" si="5"/>
        <v/>
      </c>
      <c r="G53" s="64"/>
      <c r="H53" s="61"/>
      <c r="I53" s="61"/>
      <c r="J53" s="61"/>
      <c r="K53" s="61"/>
      <c r="L53" s="61"/>
      <c r="M53" s="61"/>
      <c r="N53" s="61"/>
      <c r="O53" s="61"/>
      <c r="P53" s="62"/>
      <c r="Q53" s="64"/>
      <c r="R53" s="62"/>
      <c r="S53" s="59"/>
      <c r="T53" s="51">
        <v>0.05</v>
      </c>
      <c r="U53" s="60"/>
      <c r="V53" s="53">
        <v>0.8</v>
      </c>
      <c r="W53" s="54">
        <f t="shared" si="6"/>
        <v>0</v>
      </c>
      <c r="X53" s="54">
        <f t="shared" si="7"/>
        <v>0</v>
      </c>
      <c r="Y53" s="54">
        <f t="shared" si="8"/>
        <v>0</v>
      </c>
      <c r="Z53" s="54">
        <f t="shared" si="9"/>
        <v>0</v>
      </c>
      <c r="AA53" s="54">
        <f t="shared" si="10"/>
        <v>0</v>
      </c>
      <c r="AB53" s="54" t="str">
        <f t="shared" si="11"/>
        <v/>
      </c>
      <c r="AC53" s="55" t="str">
        <f t="shared" ref="AC53:AD53" si="121">if(G53="yes",1,"")</f>
        <v/>
      </c>
      <c r="AD53" s="56" t="str">
        <f t="shared" si="121"/>
        <v/>
      </c>
      <c r="AE53" s="56" t="str">
        <f t="shared" si="13"/>
        <v/>
      </c>
      <c r="AF53" s="56" t="str">
        <f t="shared" si="14"/>
        <v/>
      </c>
      <c r="AG53" s="56" t="str">
        <f t="shared" si="15"/>
        <v/>
      </c>
      <c r="AH53" s="56" t="str">
        <f t="shared" si="16"/>
        <v/>
      </c>
      <c r="AI53" s="56" t="str">
        <f t="shared" si="17"/>
        <v/>
      </c>
      <c r="AJ53" s="56" t="str">
        <f t="shared" si="18"/>
        <v/>
      </c>
      <c r="AK53" s="56" t="str">
        <f t="shared" si="19"/>
        <v/>
      </c>
      <c r="AL53" s="56" t="str">
        <f t="shared" si="20"/>
        <v/>
      </c>
      <c r="AM53" s="56" t="str">
        <f t="shared" si="21"/>
        <v/>
      </c>
      <c r="AN53" s="56" t="str">
        <f t="shared" si="22"/>
        <v/>
      </c>
      <c r="AO53" s="56" t="str">
        <f t="shared" ref="AO53:AP53" si="122">if(N53="risk",-1,"")</f>
        <v/>
      </c>
      <c r="AP53" s="56" t="str">
        <f t="shared" si="122"/>
        <v/>
      </c>
      <c r="AQ53" s="56" t="str">
        <f t="shared" si="24"/>
        <v/>
      </c>
    </row>
    <row r="54">
      <c r="A54" s="82"/>
      <c r="B54" s="41">
        <f t="shared" si="3"/>
        <v>0</v>
      </c>
      <c r="C54" s="83"/>
      <c r="D54" s="43" t="str">
        <f>IFERROR(__xludf.DUMMYFUNCTION("GOOGLEFINANCE(A54,""price"")"),"#N/A")</f>
        <v>#N/A</v>
      </c>
      <c r="E54" s="43" t="str">
        <f t="shared" si="4"/>
        <v/>
      </c>
      <c r="F54" s="44" t="str">
        <f t="shared" si="5"/>
        <v/>
      </c>
      <c r="G54" s="64"/>
      <c r="H54" s="61"/>
      <c r="I54" s="61"/>
      <c r="J54" s="61"/>
      <c r="K54" s="61"/>
      <c r="L54" s="61"/>
      <c r="M54" s="61"/>
      <c r="N54" s="61"/>
      <c r="O54" s="61"/>
      <c r="P54" s="62"/>
      <c r="Q54" s="64"/>
      <c r="R54" s="62"/>
      <c r="S54" s="59"/>
      <c r="T54" s="51">
        <v>0.05</v>
      </c>
      <c r="U54" s="60"/>
      <c r="V54" s="53">
        <v>0.8</v>
      </c>
      <c r="W54" s="54">
        <f t="shared" si="6"/>
        <v>0</v>
      </c>
      <c r="X54" s="54">
        <f t="shared" si="7"/>
        <v>0</v>
      </c>
      <c r="Y54" s="54">
        <f t="shared" si="8"/>
        <v>0</v>
      </c>
      <c r="Z54" s="54">
        <f t="shared" si="9"/>
        <v>0</v>
      </c>
      <c r="AA54" s="54">
        <f t="shared" si="10"/>
        <v>0</v>
      </c>
      <c r="AB54" s="54" t="str">
        <f t="shared" si="11"/>
        <v/>
      </c>
      <c r="AC54" s="55" t="str">
        <f t="shared" ref="AC54:AD54" si="123">if(G54="yes",1,"")</f>
        <v/>
      </c>
      <c r="AD54" s="56" t="str">
        <f t="shared" si="123"/>
        <v/>
      </c>
      <c r="AE54" s="56" t="str">
        <f t="shared" si="13"/>
        <v/>
      </c>
      <c r="AF54" s="56" t="str">
        <f t="shared" si="14"/>
        <v/>
      </c>
      <c r="AG54" s="56" t="str">
        <f t="shared" si="15"/>
        <v/>
      </c>
      <c r="AH54" s="56" t="str">
        <f t="shared" si="16"/>
        <v/>
      </c>
      <c r="AI54" s="56" t="str">
        <f t="shared" si="17"/>
        <v/>
      </c>
      <c r="AJ54" s="56" t="str">
        <f t="shared" si="18"/>
        <v/>
      </c>
      <c r="AK54" s="56" t="str">
        <f t="shared" si="19"/>
        <v/>
      </c>
      <c r="AL54" s="56" t="str">
        <f t="shared" si="20"/>
        <v/>
      </c>
      <c r="AM54" s="56" t="str">
        <f t="shared" si="21"/>
        <v/>
      </c>
      <c r="AN54" s="56" t="str">
        <f t="shared" si="22"/>
        <v/>
      </c>
      <c r="AO54" s="56" t="str">
        <f t="shared" ref="AO54:AP54" si="124">if(N54="risk",-1,"")</f>
        <v/>
      </c>
      <c r="AP54" s="56" t="str">
        <f t="shared" si="124"/>
        <v/>
      </c>
      <c r="AQ54" s="56" t="str">
        <f t="shared" si="24"/>
        <v/>
      </c>
    </row>
    <row r="55">
      <c r="A55" s="82"/>
      <c r="B55" s="41">
        <f t="shared" si="3"/>
        <v>0</v>
      </c>
      <c r="C55" s="83"/>
      <c r="D55" s="43" t="str">
        <f>IFERROR(__xludf.DUMMYFUNCTION("GOOGLEFINANCE(A55,""price"")"),"#N/A")</f>
        <v>#N/A</v>
      </c>
      <c r="E55" s="43" t="str">
        <f t="shared" si="4"/>
        <v/>
      </c>
      <c r="F55" s="44" t="str">
        <f t="shared" si="5"/>
        <v/>
      </c>
      <c r="G55" s="64"/>
      <c r="H55" s="61"/>
      <c r="I55" s="61"/>
      <c r="J55" s="61"/>
      <c r="K55" s="61"/>
      <c r="L55" s="61"/>
      <c r="M55" s="61"/>
      <c r="N55" s="61"/>
      <c r="O55" s="61"/>
      <c r="P55" s="62"/>
      <c r="Q55" s="64"/>
      <c r="R55" s="62"/>
      <c r="S55" s="59"/>
      <c r="T55" s="51">
        <v>0.05</v>
      </c>
      <c r="U55" s="60"/>
      <c r="V55" s="53">
        <v>0.8</v>
      </c>
      <c r="W55" s="54">
        <f t="shared" si="6"/>
        <v>0</v>
      </c>
      <c r="X55" s="54">
        <f t="shared" si="7"/>
        <v>0</v>
      </c>
      <c r="Y55" s="54">
        <f t="shared" si="8"/>
        <v>0</v>
      </c>
      <c r="Z55" s="54">
        <f t="shared" si="9"/>
        <v>0</v>
      </c>
      <c r="AA55" s="54">
        <f t="shared" si="10"/>
        <v>0</v>
      </c>
      <c r="AB55" s="54" t="str">
        <f t="shared" si="11"/>
        <v/>
      </c>
      <c r="AC55" s="55" t="str">
        <f t="shared" ref="AC55:AD55" si="125">if(G55="yes",1,"")</f>
        <v/>
      </c>
      <c r="AD55" s="56" t="str">
        <f t="shared" si="125"/>
        <v/>
      </c>
      <c r="AE55" s="56" t="str">
        <f t="shared" si="13"/>
        <v/>
      </c>
      <c r="AF55" s="56" t="str">
        <f t="shared" si="14"/>
        <v/>
      </c>
      <c r="AG55" s="56" t="str">
        <f t="shared" si="15"/>
        <v/>
      </c>
      <c r="AH55" s="56" t="str">
        <f t="shared" si="16"/>
        <v/>
      </c>
      <c r="AI55" s="56" t="str">
        <f t="shared" si="17"/>
        <v/>
      </c>
      <c r="AJ55" s="56" t="str">
        <f t="shared" si="18"/>
        <v/>
      </c>
      <c r="AK55" s="56" t="str">
        <f t="shared" si="19"/>
        <v/>
      </c>
      <c r="AL55" s="56" t="str">
        <f t="shared" si="20"/>
        <v/>
      </c>
      <c r="AM55" s="56" t="str">
        <f t="shared" si="21"/>
        <v/>
      </c>
      <c r="AN55" s="56" t="str">
        <f t="shared" si="22"/>
        <v/>
      </c>
      <c r="AO55" s="56" t="str">
        <f t="shared" ref="AO55:AP55" si="126">if(N55="risk",-1,"")</f>
        <v/>
      </c>
      <c r="AP55" s="56" t="str">
        <f t="shared" si="126"/>
        <v/>
      </c>
      <c r="AQ55" s="56" t="str">
        <f t="shared" si="24"/>
        <v/>
      </c>
    </row>
    <row r="56">
      <c r="A56" s="82"/>
      <c r="B56" s="41">
        <f t="shared" si="3"/>
        <v>0</v>
      </c>
      <c r="C56" s="83"/>
      <c r="D56" s="43" t="str">
        <f>IFERROR(__xludf.DUMMYFUNCTION("GOOGLEFINANCE(A56,""price"")"),"#N/A")</f>
        <v>#N/A</v>
      </c>
      <c r="E56" s="43" t="str">
        <f t="shared" si="4"/>
        <v/>
      </c>
      <c r="F56" s="44" t="str">
        <f t="shared" si="5"/>
        <v/>
      </c>
      <c r="G56" s="64"/>
      <c r="H56" s="61"/>
      <c r="I56" s="61"/>
      <c r="J56" s="61"/>
      <c r="K56" s="61"/>
      <c r="L56" s="61"/>
      <c r="M56" s="61"/>
      <c r="N56" s="61"/>
      <c r="O56" s="61"/>
      <c r="P56" s="62"/>
      <c r="Q56" s="64"/>
      <c r="R56" s="62"/>
      <c r="S56" s="59"/>
      <c r="T56" s="51">
        <v>0.05</v>
      </c>
      <c r="U56" s="60"/>
      <c r="V56" s="53">
        <v>0.8</v>
      </c>
      <c r="W56" s="54">
        <f t="shared" si="6"/>
        <v>0</v>
      </c>
      <c r="X56" s="54">
        <f t="shared" si="7"/>
        <v>0</v>
      </c>
      <c r="Y56" s="54">
        <f t="shared" si="8"/>
        <v>0</v>
      </c>
      <c r="Z56" s="54">
        <f t="shared" si="9"/>
        <v>0</v>
      </c>
      <c r="AA56" s="54">
        <f t="shared" si="10"/>
        <v>0</v>
      </c>
      <c r="AB56" s="54" t="str">
        <f t="shared" si="11"/>
        <v/>
      </c>
      <c r="AC56" s="55" t="str">
        <f t="shared" ref="AC56:AD56" si="127">if(G56="yes",1,"")</f>
        <v/>
      </c>
      <c r="AD56" s="56" t="str">
        <f t="shared" si="127"/>
        <v/>
      </c>
      <c r="AE56" s="56" t="str">
        <f t="shared" si="13"/>
        <v/>
      </c>
      <c r="AF56" s="56" t="str">
        <f t="shared" si="14"/>
        <v/>
      </c>
      <c r="AG56" s="56" t="str">
        <f t="shared" si="15"/>
        <v/>
      </c>
      <c r="AH56" s="56" t="str">
        <f t="shared" si="16"/>
        <v/>
      </c>
      <c r="AI56" s="56" t="str">
        <f t="shared" si="17"/>
        <v/>
      </c>
      <c r="AJ56" s="56" t="str">
        <f t="shared" si="18"/>
        <v/>
      </c>
      <c r="AK56" s="56" t="str">
        <f t="shared" si="19"/>
        <v/>
      </c>
      <c r="AL56" s="56" t="str">
        <f t="shared" si="20"/>
        <v/>
      </c>
      <c r="AM56" s="56" t="str">
        <f t="shared" si="21"/>
        <v/>
      </c>
      <c r="AN56" s="56" t="str">
        <f t="shared" si="22"/>
        <v/>
      </c>
      <c r="AO56" s="56" t="str">
        <f t="shared" ref="AO56:AP56" si="128">if(N56="risk",-1,"")</f>
        <v/>
      </c>
      <c r="AP56" s="56" t="str">
        <f t="shared" si="128"/>
        <v/>
      </c>
      <c r="AQ56" s="56" t="str">
        <f t="shared" si="24"/>
        <v/>
      </c>
    </row>
    <row r="57">
      <c r="A57" s="82"/>
      <c r="B57" s="41">
        <f t="shared" si="3"/>
        <v>0</v>
      </c>
      <c r="C57" s="83"/>
      <c r="D57" s="43" t="str">
        <f>IFERROR(__xludf.DUMMYFUNCTION("GOOGLEFINANCE(A57,""price"")"),"#N/A")</f>
        <v>#N/A</v>
      </c>
      <c r="E57" s="43" t="str">
        <f t="shared" si="4"/>
        <v/>
      </c>
      <c r="F57" s="44" t="str">
        <f t="shared" si="5"/>
        <v/>
      </c>
      <c r="G57" s="64"/>
      <c r="H57" s="61"/>
      <c r="I57" s="61"/>
      <c r="J57" s="61"/>
      <c r="K57" s="61"/>
      <c r="L57" s="61"/>
      <c r="M57" s="61"/>
      <c r="N57" s="61"/>
      <c r="O57" s="61"/>
      <c r="P57" s="62"/>
      <c r="Q57" s="64"/>
      <c r="R57" s="62"/>
      <c r="S57" s="59"/>
      <c r="T57" s="51">
        <v>0.05</v>
      </c>
      <c r="U57" s="60"/>
      <c r="V57" s="53">
        <v>0.8</v>
      </c>
      <c r="W57" s="54">
        <f t="shared" si="6"/>
        <v>0</v>
      </c>
      <c r="X57" s="54">
        <f t="shared" si="7"/>
        <v>0</v>
      </c>
      <c r="Y57" s="54">
        <f t="shared" si="8"/>
        <v>0</v>
      </c>
      <c r="Z57" s="54">
        <f t="shared" si="9"/>
        <v>0</v>
      </c>
      <c r="AA57" s="54">
        <f t="shared" si="10"/>
        <v>0</v>
      </c>
      <c r="AB57" s="54" t="str">
        <f t="shared" si="11"/>
        <v/>
      </c>
      <c r="AC57" s="55" t="str">
        <f t="shared" ref="AC57:AD57" si="129">if(G57="yes",1,"")</f>
        <v/>
      </c>
      <c r="AD57" s="56" t="str">
        <f t="shared" si="129"/>
        <v/>
      </c>
      <c r="AE57" s="56" t="str">
        <f t="shared" si="13"/>
        <v/>
      </c>
      <c r="AF57" s="56" t="str">
        <f t="shared" si="14"/>
        <v/>
      </c>
      <c r="AG57" s="56" t="str">
        <f t="shared" si="15"/>
        <v/>
      </c>
      <c r="AH57" s="56" t="str">
        <f t="shared" si="16"/>
        <v/>
      </c>
      <c r="AI57" s="56" t="str">
        <f t="shared" si="17"/>
        <v/>
      </c>
      <c r="AJ57" s="56" t="str">
        <f t="shared" si="18"/>
        <v/>
      </c>
      <c r="AK57" s="56" t="str">
        <f t="shared" si="19"/>
        <v/>
      </c>
      <c r="AL57" s="56" t="str">
        <f t="shared" si="20"/>
        <v/>
      </c>
      <c r="AM57" s="56" t="str">
        <f t="shared" si="21"/>
        <v/>
      </c>
      <c r="AN57" s="56" t="str">
        <f t="shared" si="22"/>
        <v/>
      </c>
      <c r="AO57" s="56" t="str">
        <f t="shared" ref="AO57:AP57" si="130">if(N57="risk",-1,"")</f>
        <v/>
      </c>
      <c r="AP57" s="56" t="str">
        <f t="shared" si="130"/>
        <v/>
      </c>
      <c r="AQ57" s="56" t="str">
        <f t="shared" si="24"/>
        <v/>
      </c>
    </row>
    <row r="58">
      <c r="A58" s="82"/>
      <c r="B58" s="41">
        <f t="shared" si="3"/>
        <v>0</v>
      </c>
      <c r="C58" s="83"/>
      <c r="D58" s="43" t="str">
        <f>IFERROR(__xludf.DUMMYFUNCTION("GOOGLEFINANCE(A58,""price"")"),"#N/A")</f>
        <v>#N/A</v>
      </c>
      <c r="E58" s="43" t="str">
        <f t="shared" si="4"/>
        <v/>
      </c>
      <c r="F58" s="44" t="str">
        <f t="shared" si="5"/>
        <v/>
      </c>
      <c r="G58" s="64"/>
      <c r="H58" s="61"/>
      <c r="I58" s="61"/>
      <c r="J58" s="61"/>
      <c r="K58" s="61"/>
      <c r="L58" s="61"/>
      <c r="M58" s="61"/>
      <c r="N58" s="61"/>
      <c r="O58" s="61"/>
      <c r="P58" s="62"/>
      <c r="Q58" s="64"/>
      <c r="R58" s="62"/>
      <c r="S58" s="59"/>
      <c r="T58" s="51">
        <v>0.05</v>
      </c>
      <c r="U58" s="60"/>
      <c r="V58" s="53">
        <v>0.8</v>
      </c>
      <c r="W58" s="54">
        <f t="shared" si="6"/>
        <v>0</v>
      </c>
      <c r="X58" s="54">
        <f t="shared" si="7"/>
        <v>0</v>
      </c>
      <c r="Y58" s="54">
        <f t="shared" si="8"/>
        <v>0</v>
      </c>
      <c r="Z58" s="54">
        <f t="shared" si="9"/>
        <v>0</v>
      </c>
      <c r="AA58" s="54">
        <f t="shared" si="10"/>
        <v>0</v>
      </c>
      <c r="AB58" s="54" t="str">
        <f t="shared" si="11"/>
        <v/>
      </c>
      <c r="AC58" s="55" t="str">
        <f t="shared" ref="AC58:AD58" si="131">if(G58="yes",1,"")</f>
        <v/>
      </c>
      <c r="AD58" s="56" t="str">
        <f t="shared" si="131"/>
        <v/>
      </c>
      <c r="AE58" s="56" t="str">
        <f t="shared" si="13"/>
        <v/>
      </c>
      <c r="AF58" s="56" t="str">
        <f t="shared" si="14"/>
        <v/>
      </c>
      <c r="AG58" s="56" t="str">
        <f t="shared" si="15"/>
        <v/>
      </c>
      <c r="AH58" s="56" t="str">
        <f t="shared" si="16"/>
        <v/>
      </c>
      <c r="AI58" s="56" t="str">
        <f t="shared" si="17"/>
        <v/>
      </c>
      <c r="AJ58" s="56" t="str">
        <f t="shared" si="18"/>
        <v/>
      </c>
      <c r="AK58" s="56" t="str">
        <f t="shared" si="19"/>
        <v/>
      </c>
      <c r="AL58" s="56" t="str">
        <f t="shared" si="20"/>
        <v/>
      </c>
      <c r="AM58" s="56" t="str">
        <f t="shared" si="21"/>
        <v/>
      </c>
      <c r="AN58" s="56" t="str">
        <f t="shared" si="22"/>
        <v/>
      </c>
      <c r="AO58" s="56" t="str">
        <f t="shared" ref="AO58:AP58" si="132">if(N58="risk",-1,"")</f>
        <v/>
      </c>
      <c r="AP58" s="56" t="str">
        <f t="shared" si="132"/>
        <v/>
      </c>
      <c r="AQ58" s="56" t="str">
        <f t="shared" si="24"/>
        <v/>
      </c>
    </row>
    <row r="59">
      <c r="A59" s="82"/>
      <c r="B59" s="41">
        <f t="shared" si="3"/>
        <v>0</v>
      </c>
      <c r="C59" s="83"/>
      <c r="D59" s="43" t="str">
        <f>IFERROR(__xludf.DUMMYFUNCTION("GOOGLEFINANCE(A59,""price"")"),"#N/A")</f>
        <v>#N/A</v>
      </c>
      <c r="E59" s="43" t="str">
        <f t="shared" si="4"/>
        <v/>
      </c>
      <c r="F59" s="44" t="str">
        <f t="shared" si="5"/>
        <v/>
      </c>
      <c r="G59" s="64"/>
      <c r="H59" s="61"/>
      <c r="I59" s="61"/>
      <c r="J59" s="61"/>
      <c r="K59" s="61"/>
      <c r="L59" s="61"/>
      <c r="M59" s="61"/>
      <c r="N59" s="61"/>
      <c r="O59" s="61"/>
      <c r="P59" s="62"/>
      <c r="Q59" s="64"/>
      <c r="R59" s="62"/>
      <c r="S59" s="59"/>
      <c r="T59" s="51">
        <v>0.05</v>
      </c>
      <c r="U59" s="60"/>
      <c r="V59" s="53">
        <v>0.8</v>
      </c>
      <c r="W59" s="54">
        <f t="shared" si="6"/>
        <v>0</v>
      </c>
      <c r="X59" s="54">
        <f t="shared" si="7"/>
        <v>0</v>
      </c>
      <c r="Y59" s="54">
        <f t="shared" si="8"/>
        <v>0</v>
      </c>
      <c r="Z59" s="54">
        <f t="shared" si="9"/>
        <v>0</v>
      </c>
      <c r="AA59" s="54">
        <f t="shared" si="10"/>
        <v>0</v>
      </c>
      <c r="AB59" s="54" t="str">
        <f t="shared" si="11"/>
        <v/>
      </c>
      <c r="AC59" s="55" t="str">
        <f t="shared" ref="AC59:AD59" si="133">if(G59="yes",1,"")</f>
        <v/>
      </c>
      <c r="AD59" s="56" t="str">
        <f t="shared" si="133"/>
        <v/>
      </c>
      <c r="AE59" s="56" t="str">
        <f t="shared" si="13"/>
        <v/>
      </c>
      <c r="AF59" s="56" t="str">
        <f t="shared" si="14"/>
        <v/>
      </c>
      <c r="AG59" s="56" t="str">
        <f t="shared" si="15"/>
        <v/>
      </c>
      <c r="AH59" s="56" t="str">
        <f t="shared" si="16"/>
        <v/>
      </c>
      <c r="AI59" s="56" t="str">
        <f t="shared" si="17"/>
        <v/>
      </c>
      <c r="AJ59" s="56" t="str">
        <f t="shared" si="18"/>
        <v/>
      </c>
      <c r="AK59" s="56" t="str">
        <f t="shared" si="19"/>
        <v/>
      </c>
      <c r="AL59" s="56" t="str">
        <f t="shared" si="20"/>
        <v/>
      </c>
      <c r="AM59" s="56" t="str">
        <f t="shared" si="21"/>
        <v/>
      </c>
      <c r="AN59" s="56" t="str">
        <f t="shared" si="22"/>
        <v/>
      </c>
      <c r="AO59" s="56" t="str">
        <f t="shared" ref="AO59:AP59" si="134">if(N59="risk",-1,"")</f>
        <v/>
      </c>
      <c r="AP59" s="56" t="str">
        <f t="shared" si="134"/>
        <v/>
      </c>
      <c r="AQ59" s="56" t="str">
        <f t="shared" si="24"/>
        <v/>
      </c>
    </row>
    <row r="60">
      <c r="A60" s="82"/>
      <c r="B60" s="41">
        <f t="shared" si="3"/>
        <v>0</v>
      </c>
      <c r="C60" s="83"/>
      <c r="D60" s="43" t="str">
        <f>IFERROR(__xludf.DUMMYFUNCTION("GOOGLEFINANCE(A60,""price"")"),"#N/A")</f>
        <v>#N/A</v>
      </c>
      <c r="E60" s="43" t="str">
        <f t="shared" si="4"/>
        <v/>
      </c>
      <c r="F60" s="44" t="str">
        <f t="shared" si="5"/>
        <v/>
      </c>
      <c r="G60" s="64"/>
      <c r="H60" s="61"/>
      <c r="I60" s="61"/>
      <c r="J60" s="61"/>
      <c r="K60" s="61"/>
      <c r="L60" s="61"/>
      <c r="M60" s="61"/>
      <c r="N60" s="61"/>
      <c r="O60" s="61"/>
      <c r="P60" s="62"/>
      <c r="Q60" s="64"/>
      <c r="R60" s="62"/>
      <c r="S60" s="59"/>
      <c r="T60" s="51">
        <v>0.05</v>
      </c>
      <c r="U60" s="60"/>
      <c r="V60" s="53">
        <v>0.8</v>
      </c>
      <c r="W60" s="54">
        <f t="shared" si="6"/>
        <v>0</v>
      </c>
      <c r="X60" s="54">
        <f t="shared" si="7"/>
        <v>0</v>
      </c>
      <c r="Y60" s="54">
        <f t="shared" si="8"/>
        <v>0</v>
      </c>
      <c r="Z60" s="54">
        <f t="shared" si="9"/>
        <v>0</v>
      </c>
      <c r="AA60" s="54">
        <f t="shared" si="10"/>
        <v>0</v>
      </c>
      <c r="AB60" s="54" t="str">
        <f t="shared" si="11"/>
        <v/>
      </c>
      <c r="AC60" s="55" t="str">
        <f t="shared" ref="AC60:AD60" si="135">if(G60="yes",1,"")</f>
        <v/>
      </c>
      <c r="AD60" s="56" t="str">
        <f t="shared" si="135"/>
        <v/>
      </c>
      <c r="AE60" s="56" t="str">
        <f t="shared" si="13"/>
        <v/>
      </c>
      <c r="AF60" s="56" t="str">
        <f t="shared" si="14"/>
        <v/>
      </c>
      <c r="AG60" s="56" t="str">
        <f t="shared" si="15"/>
        <v/>
      </c>
      <c r="AH60" s="56" t="str">
        <f t="shared" si="16"/>
        <v/>
      </c>
      <c r="AI60" s="56" t="str">
        <f t="shared" si="17"/>
        <v/>
      </c>
      <c r="AJ60" s="56" t="str">
        <f t="shared" si="18"/>
        <v/>
      </c>
      <c r="AK60" s="56" t="str">
        <f t="shared" si="19"/>
        <v/>
      </c>
      <c r="AL60" s="56" t="str">
        <f t="shared" si="20"/>
        <v/>
      </c>
      <c r="AM60" s="56" t="str">
        <f t="shared" si="21"/>
        <v/>
      </c>
      <c r="AN60" s="56" t="str">
        <f t="shared" si="22"/>
        <v/>
      </c>
      <c r="AO60" s="56" t="str">
        <f t="shared" ref="AO60:AP60" si="136">if(N60="risk",-1,"")</f>
        <v/>
      </c>
      <c r="AP60" s="56" t="str">
        <f t="shared" si="136"/>
        <v/>
      </c>
      <c r="AQ60" s="56" t="str">
        <f t="shared" si="24"/>
        <v/>
      </c>
    </row>
    <row r="61">
      <c r="A61" s="82"/>
      <c r="B61" s="41">
        <f t="shared" si="3"/>
        <v>0</v>
      </c>
      <c r="C61" s="83"/>
      <c r="D61" s="43" t="str">
        <f>IFERROR(__xludf.DUMMYFUNCTION("GOOGLEFINANCE(A61,""price"")"),"#N/A")</f>
        <v>#N/A</v>
      </c>
      <c r="E61" s="43" t="str">
        <f t="shared" si="4"/>
        <v/>
      </c>
      <c r="F61" s="44" t="str">
        <f t="shared" si="5"/>
        <v/>
      </c>
      <c r="G61" s="64"/>
      <c r="H61" s="61"/>
      <c r="I61" s="61"/>
      <c r="J61" s="61"/>
      <c r="K61" s="61"/>
      <c r="L61" s="61"/>
      <c r="M61" s="61"/>
      <c r="N61" s="61"/>
      <c r="O61" s="61"/>
      <c r="P61" s="62"/>
      <c r="Q61" s="64"/>
      <c r="R61" s="62"/>
      <c r="S61" s="59"/>
      <c r="T61" s="51">
        <v>0.05</v>
      </c>
      <c r="U61" s="60"/>
      <c r="V61" s="53">
        <v>0.8</v>
      </c>
      <c r="W61" s="54">
        <f t="shared" si="6"/>
        <v>0</v>
      </c>
      <c r="X61" s="54">
        <f t="shared" si="7"/>
        <v>0</v>
      </c>
      <c r="Y61" s="54">
        <f t="shared" si="8"/>
        <v>0</v>
      </c>
      <c r="Z61" s="54">
        <f t="shared" si="9"/>
        <v>0</v>
      </c>
      <c r="AA61" s="54">
        <f t="shared" si="10"/>
        <v>0</v>
      </c>
      <c r="AB61" s="54" t="str">
        <f t="shared" si="11"/>
        <v/>
      </c>
      <c r="AC61" s="55" t="str">
        <f t="shared" ref="AC61:AD61" si="137">if(G61="yes",1,"")</f>
        <v/>
      </c>
      <c r="AD61" s="56" t="str">
        <f t="shared" si="137"/>
        <v/>
      </c>
      <c r="AE61" s="56" t="str">
        <f t="shared" si="13"/>
        <v/>
      </c>
      <c r="AF61" s="56" t="str">
        <f t="shared" si="14"/>
        <v/>
      </c>
      <c r="AG61" s="56" t="str">
        <f t="shared" si="15"/>
        <v/>
      </c>
      <c r="AH61" s="56" t="str">
        <f t="shared" si="16"/>
        <v/>
      </c>
      <c r="AI61" s="56" t="str">
        <f t="shared" si="17"/>
        <v/>
      </c>
      <c r="AJ61" s="56" t="str">
        <f t="shared" si="18"/>
        <v/>
      </c>
      <c r="AK61" s="56" t="str">
        <f t="shared" si="19"/>
        <v/>
      </c>
      <c r="AL61" s="56" t="str">
        <f t="shared" si="20"/>
        <v/>
      </c>
      <c r="AM61" s="56" t="str">
        <f t="shared" si="21"/>
        <v/>
      </c>
      <c r="AN61" s="56" t="str">
        <f t="shared" si="22"/>
        <v/>
      </c>
      <c r="AO61" s="56" t="str">
        <f t="shared" ref="AO61:AP61" si="138">if(N61="risk",-1,"")</f>
        <v/>
      </c>
      <c r="AP61" s="56" t="str">
        <f t="shared" si="138"/>
        <v/>
      </c>
      <c r="AQ61" s="56" t="str">
        <f t="shared" si="24"/>
        <v/>
      </c>
    </row>
    <row r="62">
      <c r="A62" s="82"/>
      <c r="B62" s="41">
        <f t="shared" si="3"/>
        <v>0</v>
      </c>
      <c r="C62" s="83"/>
      <c r="D62" s="43" t="str">
        <f>IFERROR(__xludf.DUMMYFUNCTION("GOOGLEFINANCE(A62,""price"")"),"#N/A")</f>
        <v>#N/A</v>
      </c>
      <c r="E62" s="43" t="str">
        <f t="shared" si="4"/>
        <v/>
      </c>
      <c r="F62" s="44" t="str">
        <f t="shared" si="5"/>
        <v/>
      </c>
      <c r="G62" s="64"/>
      <c r="H62" s="61"/>
      <c r="I62" s="61"/>
      <c r="J62" s="61"/>
      <c r="K62" s="61"/>
      <c r="L62" s="61"/>
      <c r="M62" s="61"/>
      <c r="N62" s="61"/>
      <c r="O62" s="61"/>
      <c r="P62" s="62"/>
      <c r="Q62" s="64"/>
      <c r="R62" s="62"/>
      <c r="S62" s="59"/>
      <c r="T62" s="51">
        <v>0.05</v>
      </c>
      <c r="U62" s="60"/>
      <c r="V62" s="53">
        <v>0.8</v>
      </c>
      <c r="W62" s="54">
        <f t="shared" si="6"/>
        <v>0</v>
      </c>
      <c r="X62" s="54">
        <f t="shared" si="7"/>
        <v>0</v>
      </c>
      <c r="Y62" s="54">
        <f t="shared" si="8"/>
        <v>0</v>
      </c>
      <c r="Z62" s="54">
        <f t="shared" si="9"/>
        <v>0</v>
      </c>
      <c r="AA62" s="54">
        <f t="shared" si="10"/>
        <v>0</v>
      </c>
      <c r="AB62" s="54" t="str">
        <f t="shared" si="11"/>
        <v/>
      </c>
      <c r="AC62" s="55" t="str">
        <f t="shared" ref="AC62:AD62" si="139">if(G62="yes",1,"")</f>
        <v/>
      </c>
      <c r="AD62" s="56" t="str">
        <f t="shared" si="139"/>
        <v/>
      </c>
      <c r="AE62" s="56" t="str">
        <f t="shared" si="13"/>
        <v/>
      </c>
      <c r="AF62" s="56" t="str">
        <f t="shared" si="14"/>
        <v/>
      </c>
      <c r="AG62" s="56" t="str">
        <f t="shared" si="15"/>
        <v/>
      </c>
      <c r="AH62" s="56" t="str">
        <f t="shared" si="16"/>
        <v/>
      </c>
      <c r="AI62" s="56" t="str">
        <f t="shared" si="17"/>
        <v/>
      </c>
      <c r="AJ62" s="56" t="str">
        <f t="shared" si="18"/>
        <v/>
      </c>
      <c r="AK62" s="56" t="str">
        <f t="shared" si="19"/>
        <v/>
      </c>
      <c r="AL62" s="56" t="str">
        <f t="shared" si="20"/>
        <v/>
      </c>
      <c r="AM62" s="56" t="str">
        <f t="shared" si="21"/>
        <v/>
      </c>
      <c r="AN62" s="56" t="str">
        <f t="shared" si="22"/>
        <v/>
      </c>
      <c r="AO62" s="56" t="str">
        <f t="shared" ref="AO62:AP62" si="140">if(N62="risk",-1,"")</f>
        <v/>
      </c>
      <c r="AP62" s="56" t="str">
        <f t="shared" si="140"/>
        <v/>
      </c>
      <c r="AQ62" s="56" t="str">
        <f t="shared" si="24"/>
        <v/>
      </c>
    </row>
    <row r="63">
      <c r="A63" s="82"/>
      <c r="B63" s="41">
        <f t="shared" si="3"/>
        <v>0</v>
      </c>
      <c r="C63" s="83"/>
      <c r="D63" s="43" t="str">
        <f>IFERROR(__xludf.DUMMYFUNCTION("GOOGLEFINANCE(A63,""price"")"),"#N/A")</f>
        <v>#N/A</v>
      </c>
      <c r="E63" s="43" t="str">
        <f t="shared" si="4"/>
        <v/>
      </c>
      <c r="F63" s="44" t="str">
        <f t="shared" si="5"/>
        <v/>
      </c>
      <c r="G63" s="64"/>
      <c r="H63" s="61"/>
      <c r="I63" s="61"/>
      <c r="J63" s="61"/>
      <c r="K63" s="61"/>
      <c r="L63" s="61"/>
      <c r="M63" s="61"/>
      <c r="N63" s="61"/>
      <c r="O63" s="61"/>
      <c r="P63" s="62"/>
      <c r="Q63" s="64"/>
      <c r="R63" s="62"/>
      <c r="S63" s="59"/>
      <c r="T63" s="51">
        <v>0.05</v>
      </c>
      <c r="U63" s="60"/>
      <c r="V63" s="53">
        <v>0.8</v>
      </c>
      <c r="W63" s="54">
        <f t="shared" si="6"/>
        <v>0</v>
      </c>
      <c r="X63" s="54">
        <f t="shared" si="7"/>
        <v>0</v>
      </c>
      <c r="Y63" s="54">
        <f t="shared" si="8"/>
        <v>0</v>
      </c>
      <c r="Z63" s="54">
        <f t="shared" si="9"/>
        <v>0</v>
      </c>
      <c r="AA63" s="54">
        <f t="shared" si="10"/>
        <v>0</v>
      </c>
      <c r="AB63" s="54" t="str">
        <f t="shared" si="11"/>
        <v/>
      </c>
      <c r="AC63" s="55" t="str">
        <f t="shared" ref="AC63:AD63" si="141">if(G63="yes",1,"")</f>
        <v/>
      </c>
      <c r="AD63" s="56" t="str">
        <f t="shared" si="141"/>
        <v/>
      </c>
      <c r="AE63" s="56" t="str">
        <f t="shared" si="13"/>
        <v/>
      </c>
      <c r="AF63" s="56" t="str">
        <f t="shared" si="14"/>
        <v/>
      </c>
      <c r="AG63" s="56" t="str">
        <f t="shared" si="15"/>
        <v/>
      </c>
      <c r="AH63" s="56" t="str">
        <f t="shared" si="16"/>
        <v/>
      </c>
      <c r="AI63" s="56" t="str">
        <f t="shared" si="17"/>
        <v/>
      </c>
      <c r="AJ63" s="56" t="str">
        <f t="shared" si="18"/>
        <v/>
      </c>
      <c r="AK63" s="56" t="str">
        <f t="shared" si="19"/>
        <v/>
      </c>
      <c r="AL63" s="56" t="str">
        <f t="shared" si="20"/>
        <v/>
      </c>
      <c r="AM63" s="56" t="str">
        <f t="shared" si="21"/>
        <v/>
      </c>
      <c r="AN63" s="56" t="str">
        <f t="shared" si="22"/>
        <v/>
      </c>
      <c r="AO63" s="56" t="str">
        <f t="shared" ref="AO63:AP63" si="142">if(N63="risk",-1,"")</f>
        <v/>
      </c>
      <c r="AP63" s="56" t="str">
        <f t="shared" si="142"/>
        <v/>
      </c>
      <c r="AQ63" s="56" t="str">
        <f t="shared" si="24"/>
        <v/>
      </c>
    </row>
    <row r="64">
      <c r="A64" s="82"/>
      <c r="B64" s="41">
        <f t="shared" si="3"/>
        <v>0</v>
      </c>
      <c r="C64" s="83"/>
      <c r="D64" s="43" t="str">
        <f>IFERROR(__xludf.DUMMYFUNCTION("GOOGLEFINANCE(A64,""price"")"),"#N/A")</f>
        <v>#N/A</v>
      </c>
      <c r="E64" s="43" t="str">
        <f t="shared" si="4"/>
        <v/>
      </c>
      <c r="F64" s="44" t="str">
        <f t="shared" si="5"/>
        <v/>
      </c>
      <c r="G64" s="64"/>
      <c r="H64" s="61"/>
      <c r="I64" s="61"/>
      <c r="J64" s="61"/>
      <c r="K64" s="61"/>
      <c r="L64" s="61"/>
      <c r="M64" s="61"/>
      <c r="N64" s="61"/>
      <c r="O64" s="61"/>
      <c r="P64" s="62"/>
      <c r="Q64" s="64"/>
      <c r="R64" s="62"/>
      <c r="S64" s="59"/>
      <c r="T64" s="51">
        <v>0.05</v>
      </c>
      <c r="U64" s="60"/>
      <c r="V64" s="53">
        <v>0.8</v>
      </c>
      <c r="W64" s="54">
        <f t="shared" si="6"/>
        <v>0</v>
      </c>
      <c r="X64" s="54">
        <f t="shared" si="7"/>
        <v>0</v>
      </c>
      <c r="Y64" s="54">
        <f t="shared" si="8"/>
        <v>0</v>
      </c>
      <c r="Z64" s="54">
        <f t="shared" si="9"/>
        <v>0</v>
      </c>
      <c r="AA64" s="54">
        <f t="shared" si="10"/>
        <v>0</v>
      </c>
      <c r="AB64" s="54" t="str">
        <f t="shared" si="11"/>
        <v/>
      </c>
      <c r="AC64" s="55" t="str">
        <f t="shared" ref="AC64:AD64" si="143">if(G64="yes",1,"")</f>
        <v/>
      </c>
      <c r="AD64" s="56" t="str">
        <f t="shared" si="143"/>
        <v/>
      </c>
      <c r="AE64" s="56" t="str">
        <f t="shared" si="13"/>
        <v/>
      </c>
      <c r="AF64" s="56" t="str">
        <f t="shared" si="14"/>
        <v/>
      </c>
      <c r="AG64" s="56" t="str">
        <f t="shared" si="15"/>
        <v/>
      </c>
      <c r="AH64" s="56" t="str">
        <f t="shared" si="16"/>
        <v/>
      </c>
      <c r="AI64" s="56" t="str">
        <f t="shared" si="17"/>
        <v/>
      </c>
      <c r="AJ64" s="56" t="str">
        <f t="shared" si="18"/>
        <v/>
      </c>
      <c r="AK64" s="56" t="str">
        <f t="shared" si="19"/>
        <v/>
      </c>
      <c r="AL64" s="56" t="str">
        <f t="shared" si="20"/>
        <v/>
      </c>
      <c r="AM64" s="56" t="str">
        <f t="shared" si="21"/>
        <v/>
      </c>
      <c r="AN64" s="56" t="str">
        <f t="shared" si="22"/>
        <v/>
      </c>
      <c r="AO64" s="56" t="str">
        <f t="shared" ref="AO64:AP64" si="144">if(N64="risk",-1,"")</f>
        <v/>
      </c>
      <c r="AP64" s="56" t="str">
        <f t="shared" si="144"/>
        <v/>
      </c>
      <c r="AQ64" s="56" t="str">
        <f t="shared" si="24"/>
        <v/>
      </c>
    </row>
    <row r="65">
      <c r="A65" s="82"/>
      <c r="B65" s="41">
        <f t="shared" si="3"/>
        <v>0</v>
      </c>
      <c r="C65" s="83"/>
      <c r="D65" s="43" t="str">
        <f>IFERROR(__xludf.DUMMYFUNCTION("GOOGLEFINANCE(A65,""price"")"),"#N/A")</f>
        <v>#N/A</v>
      </c>
      <c r="E65" s="43" t="str">
        <f t="shared" si="4"/>
        <v/>
      </c>
      <c r="F65" s="44" t="str">
        <f t="shared" si="5"/>
        <v/>
      </c>
      <c r="G65" s="64"/>
      <c r="H65" s="61"/>
      <c r="I65" s="61"/>
      <c r="J65" s="61"/>
      <c r="K65" s="61"/>
      <c r="L65" s="61"/>
      <c r="M65" s="61"/>
      <c r="N65" s="61"/>
      <c r="O65" s="61"/>
      <c r="P65" s="62"/>
      <c r="Q65" s="64"/>
      <c r="R65" s="62"/>
      <c r="S65" s="59"/>
      <c r="T65" s="51">
        <v>0.05</v>
      </c>
      <c r="U65" s="60"/>
      <c r="V65" s="53">
        <v>0.8</v>
      </c>
      <c r="W65" s="54">
        <f t="shared" si="6"/>
        <v>0</v>
      </c>
      <c r="X65" s="54">
        <f t="shared" si="7"/>
        <v>0</v>
      </c>
      <c r="Y65" s="54">
        <f t="shared" si="8"/>
        <v>0</v>
      </c>
      <c r="Z65" s="54">
        <f t="shared" si="9"/>
        <v>0</v>
      </c>
      <c r="AA65" s="54">
        <f t="shared" si="10"/>
        <v>0</v>
      </c>
      <c r="AB65" s="54" t="str">
        <f t="shared" si="11"/>
        <v/>
      </c>
      <c r="AC65" s="55" t="str">
        <f t="shared" ref="AC65:AD65" si="145">if(G65="yes",1,"")</f>
        <v/>
      </c>
      <c r="AD65" s="56" t="str">
        <f t="shared" si="145"/>
        <v/>
      </c>
      <c r="AE65" s="56" t="str">
        <f t="shared" si="13"/>
        <v/>
      </c>
      <c r="AF65" s="56" t="str">
        <f t="shared" si="14"/>
        <v/>
      </c>
      <c r="AG65" s="56" t="str">
        <f t="shared" si="15"/>
        <v/>
      </c>
      <c r="AH65" s="56" t="str">
        <f t="shared" si="16"/>
        <v/>
      </c>
      <c r="AI65" s="56" t="str">
        <f t="shared" si="17"/>
        <v/>
      </c>
      <c r="AJ65" s="56" t="str">
        <f t="shared" si="18"/>
        <v/>
      </c>
      <c r="AK65" s="56" t="str">
        <f t="shared" si="19"/>
        <v/>
      </c>
      <c r="AL65" s="56" t="str">
        <f t="shared" si="20"/>
        <v/>
      </c>
      <c r="AM65" s="56" t="str">
        <f t="shared" si="21"/>
        <v/>
      </c>
      <c r="AN65" s="56" t="str">
        <f t="shared" si="22"/>
        <v/>
      </c>
      <c r="AO65" s="56" t="str">
        <f t="shared" ref="AO65:AP65" si="146">if(N65="risk",-1,"")</f>
        <v/>
      </c>
      <c r="AP65" s="56" t="str">
        <f t="shared" si="146"/>
        <v/>
      </c>
      <c r="AQ65" s="56" t="str">
        <f t="shared" si="24"/>
        <v/>
      </c>
    </row>
    <row r="66">
      <c r="A66" s="82"/>
      <c r="B66" s="41">
        <f t="shared" si="3"/>
        <v>0</v>
      </c>
      <c r="C66" s="83"/>
      <c r="D66" s="43" t="str">
        <f>IFERROR(__xludf.DUMMYFUNCTION("GOOGLEFINANCE(A66,""price"")"),"#N/A")</f>
        <v>#N/A</v>
      </c>
      <c r="E66" s="43" t="str">
        <f t="shared" si="4"/>
        <v/>
      </c>
      <c r="F66" s="44" t="str">
        <f t="shared" si="5"/>
        <v/>
      </c>
      <c r="G66" s="64"/>
      <c r="H66" s="61"/>
      <c r="I66" s="61"/>
      <c r="J66" s="61"/>
      <c r="K66" s="61"/>
      <c r="L66" s="61"/>
      <c r="M66" s="61"/>
      <c r="N66" s="61"/>
      <c r="O66" s="61"/>
      <c r="P66" s="62"/>
      <c r="Q66" s="64"/>
      <c r="R66" s="62"/>
      <c r="S66" s="59"/>
      <c r="T66" s="51">
        <v>0.05</v>
      </c>
      <c r="U66" s="60"/>
      <c r="V66" s="53">
        <v>0.8</v>
      </c>
      <c r="W66" s="54">
        <f t="shared" si="6"/>
        <v>0</v>
      </c>
      <c r="X66" s="54">
        <f t="shared" si="7"/>
        <v>0</v>
      </c>
      <c r="Y66" s="54">
        <f t="shared" si="8"/>
        <v>0</v>
      </c>
      <c r="Z66" s="54">
        <f t="shared" si="9"/>
        <v>0</v>
      </c>
      <c r="AA66" s="54">
        <f t="shared" si="10"/>
        <v>0</v>
      </c>
      <c r="AB66" s="54" t="str">
        <f t="shared" si="11"/>
        <v/>
      </c>
      <c r="AC66" s="55" t="str">
        <f t="shared" ref="AC66:AD66" si="147">if(G66="yes",1,"")</f>
        <v/>
      </c>
      <c r="AD66" s="56" t="str">
        <f t="shared" si="147"/>
        <v/>
      </c>
      <c r="AE66" s="56" t="str">
        <f t="shared" si="13"/>
        <v/>
      </c>
      <c r="AF66" s="56" t="str">
        <f t="shared" si="14"/>
        <v/>
      </c>
      <c r="AG66" s="56" t="str">
        <f t="shared" si="15"/>
        <v/>
      </c>
      <c r="AH66" s="56" t="str">
        <f t="shared" si="16"/>
        <v/>
      </c>
      <c r="AI66" s="56" t="str">
        <f t="shared" si="17"/>
        <v/>
      </c>
      <c r="AJ66" s="56" t="str">
        <f t="shared" si="18"/>
        <v/>
      </c>
      <c r="AK66" s="56" t="str">
        <f t="shared" si="19"/>
        <v/>
      </c>
      <c r="AL66" s="56" t="str">
        <f t="shared" si="20"/>
        <v/>
      </c>
      <c r="AM66" s="56" t="str">
        <f t="shared" si="21"/>
        <v/>
      </c>
      <c r="AN66" s="56" t="str">
        <f t="shared" si="22"/>
        <v/>
      </c>
      <c r="AO66" s="56" t="str">
        <f t="shared" ref="AO66:AP66" si="148">if(N66="risk",-1,"")</f>
        <v/>
      </c>
      <c r="AP66" s="56" t="str">
        <f t="shared" si="148"/>
        <v/>
      </c>
      <c r="AQ66" s="56" t="str">
        <f t="shared" si="24"/>
        <v/>
      </c>
    </row>
    <row r="67">
      <c r="A67" s="82"/>
      <c r="B67" s="41">
        <f t="shared" si="3"/>
        <v>0</v>
      </c>
      <c r="C67" s="83"/>
      <c r="D67" s="43" t="str">
        <f>IFERROR(__xludf.DUMMYFUNCTION("GOOGLEFINANCE(A67,""price"")"),"#N/A")</f>
        <v>#N/A</v>
      </c>
      <c r="E67" s="43" t="str">
        <f t="shared" si="4"/>
        <v/>
      </c>
      <c r="F67" s="44" t="str">
        <f t="shared" si="5"/>
        <v/>
      </c>
      <c r="G67" s="64"/>
      <c r="H67" s="61"/>
      <c r="I67" s="61"/>
      <c r="J67" s="61"/>
      <c r="K67" s="61"/>
      <c r="L67" s="61"/>
      <c r="M67" s="61"/>
      <c r="N67" s="61"/>
      <c r="O67" s="61"/>
      <c r="P67" s="62"/>
      <c r="Q67" s="64"/>
      <c r="R67" s="62"/>
      <c r="S67" s="59"/>
      <c r="T67" s="51">
        <v>0.05</v>
      </c>
      <c r="U67" s="60"/>
      <c r="V67" s="53">
        <v>0.8</v>
      </c>
      <c r="W67" s="54">
        <f t="shared" si="6"/>
        <v>0</v>
      </c>
      <c r="X67" s="54">
        <f t="shared" si="7"/>
        <v>0</v>
      </c>
      <c r="Y67" s="54">
        <f t="shared" si="8"/>
        <v>0</v>
      </c>
      <c r="Z67" s="54">
        <f t="shared" si="9"/>
        <v>0</v>
      </c>
      <c r="AA67" s="54">
        <f t="shared" si="10"/>
        <v>0</v>
      </c>
      <c r="AB67" s="54" t="str">
        <f t="shared" si="11"/>
        <v/>
      </c>
      <c r="AC67" s="55" t="str">
        <f t="shared" ref="AC67:AD67" si="149">if(G67="yes",1,"")</f>
        <v/>
      </c>
      <c r="AD67" s="56" t="str">
        <f t="shared" si="149"/>
        <v/>
      </c>
      <c r="AE67" s="56" t="str">
        <f t="shared" si="13"/>
        <v/>
      </c>
      <c r="AF67" s="56" t="str">
        <f t="shared" si="14"/>
        <v/>
      </c>
      <c r="AG67" s="56" t="str">
        <f t="shared" si="15"/>
        <v/>
      </c>
      <c r="AH67" s="56" t="str">
        <f t="shared" si="16"/>
        <v/>
      </c>
      <c r="AI67" s="56" t="str">
        <f t="shared" si="17"/>
        <v/>
      </c>
      <c r="AJ67" s="56" t="str">
        <f t="shared" si="18"/>
        <v/>
      </c>
      <c r="AK67" s="56" t="str">
        <f t="shared" si="19"/>
        <v/>
      </c>
      <c r="AL67" s="56" t="str">
        <f t="shared" si="20"/>
        <v/>
      </c>
      <c r="AM67" s="56" t="str">
        <f t="shared" si="21"/>
        <v/>
      </c>
      <c r="AN67" s="56" t="str">
        <f t="shared" si="22"/>
        <v/>
      </c>
      <c r="AO67" s="56" t="str">
        <f t="shared" ref="AO67:AP67" si="150">if(N67="risk",-1,"")</f>
        <v/>
      </c>
      <c r="AP67" s="56" t="str">
        <f t="shared" si="150"/>
        <v/>
      </c>
      <c r="AQ67" s="56" t="str">
        <f t="shared" si="24"/>
        <v/>
      </c>
    </row>
    <row r="68">
      <c r="A68" s="82"/>
      <c r="B68" s="41">
        <f t="shared" si="3"/>
        <v>0</v>
      </c>
      <c r="C68" s="83"/>
      <c r="D68" s="43" t="str">
        <f>IFERROR(__xludf.DUMMYFUNCTION("GOOGLEFINANCE(A68,""price"")"),"#N/A")</f>
        <v>#N/A</v>
      </c>
      <c r="E68" s="43" t="str">
        <f t="shared" si="4"/>
        <v/>
      </c>
      <c r="F68" s="44" t="str">
        <f t="shared" si="5"/>
        <v/>
      </c>
      <c r="G68" s="64"/>
      <c r="H68" s="61"/>
      <c r="I68" s="61"/>
      <c r="J68" s="61"/>
      <c r="K68" s="61"/>
      <c r="L68" s="61"/>
      <c r="M68" s="61"/>
      <c r="N68" s="61"/>
      <c r="O68" s="61"/>
      <c r="P68" s="62"/>
      <c r="Q68" s="64"/>
      <c r="R68" s="62"/>
      <c r="S68" s="59"/>
      <c r="T68" s="51">
        <v>0.05</v>
      </c>
      <c r="U68" s="60"/>
      <c r="V68" s="53">
        <v>0.8</v>
      </c>
      <c r="W68" s="54">
        <f t="shared" si="6"/>
        <v>0</v>
      </c>
      <c r="X68" s="54">
        <f t="shared" si="7"/>
        <v>0</v>
      </c>
      <c r="Y68" s="54">
        <f t="shared" si="8"/>
        <v>0</v>
      </c>
      <c r="Z68" s="54">
        <f t="shared" si="9"/>
        <v>0</v>
      </c>
      <c r="AA68" s="54">
        <f t="shared" si="10"/>
        <v>0</v>
      </c>
      <c r="AB68" s="54" t="str">
        <f t="shared" si="11"/>
        <v/>
      </c>
      <c r="AC68" s="55" t="str">
        <f t="shared" ref="AC68:AD68" si="151">if(G68="yes",1,"")</f>
        <v/>
      </c>
      <c r="AD68" s="56" t="str">
        <f t="shared" si="151"/>
        <v/>
      </c>
      <c r="AE68" s="56" t="str">
        <f t="shared" si="13"/>
        <v/>
      </c>
      <c r="AF68" s="56" t="str">
        <f t="shared" si="14"/>
        <v/>
      </c>
      <c r="AG68" s="56" t="str">
        <f t="shared" si="15"/>
        <v/>
      </c>
      <c r="AH68" s="56" t="str">
        <f t="shared" si="16"/>
        <v/>
      </c>
      <c r="AI68" s="56" t="str">
        <f t="shared" si="17"/>
        <v/>
      </c>
      <c r="AJ68" s="56" t="str">
        <f t="shared" si="18"/>
        <v/>
      </c>
      <c r="AK68" s="56" t="str">
        <f t="shared" si="19"/>
        <v/>
      </c>
      <c r="AL68" s="56" t="str">
        <f t="shared" si="20"/>
        <v/>
      </c>
      <c r="AM68" s="56" t="str">
        <f t="shared" si="21"/>
        <v/>
      </c>
      <c r="AN68" s="56" t="str">
        <f t="shared" si="22"/>
        <v/>
      </c>
      <c r="AO68" s="56" t="str">
        <f t="shared" ref="AO68:AP68" si="152">if(N68="risk",-1,"")</f>
        <v/>
      </c>
      <c r="AP68" s="56" t="str">
        <f t="shared" si="152"/>
        <v/>
      </c>
      <c r="AQ68" s="56" t="str">
        <f t="shared" si="24"/>
        <v/>
      </c>
    </row>
    <row r="69">
      <c r="A69" s="82"/>
      <c r="B69" s="41">
        <f t="shared" si="3"/>
        <v>0</v>
      </c>
      <c r="C69" s="83"/>
      <c r="D69" s="43" t="str">
        <f>IFERROR(__xludf.DUMMYFUNCTION("GOOGLEFINANCE(A69,""price"")"),"#N/A")</f>
        <v>#N/A</v>
      </c>
      <c r="E69" s="43" t="str">
        <f t="shared" si="4"/>
        <v/>
      </c>
      <c r="F69" s="44" t="str">
        <f t="shared" si="5"/>
        <v/>
      </c>
      <c r="G69" s="64"/>
      <c r="H69" s="61"/>
      <c r="I69" s="61"/>
      <c r="J69" s="61"/>
      <c r="K69" s="61"/>
      <c r="L69" s="61"/>
      <c r="M69" s="61"/>
      <c r="N69" s="61"/>
      <c r="O69" s="61"/>
      <c r="P69" s="62"/>
      <c r="Q69" s="64"/>
      <c r="R69" s="62"/>
      <c r="S69" s="59"/>
      <c r="T69" s="51">
        <v>0.05</v>
      </c>
      <c r="U69" s="60"/>
      <c r="V69" s="53">
        <v>0.8</v>
      </c>
      <c r="W69" s="54">
        <f t="shared" si="6"/>
        <v>0</v>
      </c>
      <c r="X69" s="54">
        <f t="shared" si="7"/>
        <v>0</v>
      </c>
      <c r="Y69" s="54">
        <f t="shared" si="8"/>
        <v>0</v>
      </c>
      <c r="Z69" s="54">
        <f t="shared" si="9"/>
        <v>0</v>
      </c>
      <c r="AA69" s="54">
        <f t="shared" si="10"/>
        <v>0</v>
      </c>
      <c r="AB69" s="54" t="str">
        <f t="shared" si="11"/>
        <v/>
      </c>
      <c r="AC69" s="55" t="str">
        <f t="shared" ref="AC69:AD69" si="153">if(G69="yes",1,"")</f>
        <v/>
      </c>
      <c r="AD69" s="56" t="str">
        <f t="shared" si="153"/>
        <v/>
      </c>
      <c r="AE69" s="56" t="str">
        <f t="shared" si="13"/>
        <v/>
      </c>
      <c r="AF69" s="56" t="str">
        <f t="shared" si="14"/>
        <v/>
      </c>
      <c r="AG69" s="56" t="str">
        <f t="shared" si="15"/>
        <v/>
      </c>
      <c r="AH69" s="56" t="str">
        <f t="shared" si="16"/>
        <v/>
      </c>
      <c r="AI69" s="56" t="str">
        <f t="shared" si="17"/>
        <v/>
      </c>
      <c r="AJ69" s="56" t="str">
        <f t="shared" si="18"/>
        <v/>
      </c>
      <c r="AK69" s="56" t="str">
        <f t="shared" si="19"/>
        <v/>
      </c>
      <c r="AL69" s="56" t="str">
        <f t="shared" si="20"/>
        <v/>
      </c>
      <c r="AM69" s="56" t="str">
        <f t="shared" si="21"/>
        <v/>
      </c>
      <c r="AN69" s="56" t="str">
        <f t="shared" si="22"/>
        <v/>
      </c>
      <c r="AO69" s="56" t="str">
        <f t="shared" ref="AO69:AP69" si="154">if(N69="risk",-1,"")</f>
        <v/>
      </c>
      <c r="AP69" s="56" t="str">
        <f t="shared" si="154"/>
        <v/>
      </c>
      <c r="AQ69" s="56" t="str">
        <f t="shared" si="24"/>
        <v/>
      </c>
    </row>
    <row r="70">
      <c r="A70" s="82"/>
      <c r="B70" s="41">
        <f t="shared" si="3"/>
        <v>0</v>
      </c>
      <c r="C70" s="83"/>
      <c r="D70" s="43" t="str">
        <f>IFERROR(__xludf.DUMMYFUNCTION("GOOGLEFINANCE(A70,""price"")"),"#N/A")</f>
        <v>#N/A</v>
      </c>
      <c r="E70" s="43" t="str">
        <f t="shared" si="4"/>
        <v/>
      </c>
      <c r="F70" s="44" t="str">
        <f t="shared" si="5"/>
        <v/>
      </c>
      <c r="G70" s="64"/>
      <c r="H70" s="61"/>
      <c r="I70" s="61"/>
      <c r="J70" s="61"/>
      <c r="K70" s="61"/>
      <c r="L70" s="61"/>
      <c r="M70" s="61"/>
      <c r="N70" s="61"/>
      <c r="O70" s="61"/>
      <c r="P70" s="62"/>
      <c r="Q70" s="64"/>
      <c r="R70" s="62"/>
      <c r="S70" s="59"/>
      <c r="T70" s="51">
        <v>0.05</v>
      </c>
      <c r="U70" s="60"/>
      <c r="V70" s="53">
        <v>0.8</v>
      </c>
      <c r="W70" s="54">
        <f t="shared" si="6"/>
        <v>0</v>
      </c>
      <c r="X70" s="54">
        <f t="shared" si="7"/>
        <v>0</v>
      </c>
      <c r="Y70" s="54">
        <f t="shared" si="8"/>
        <v>0</v>
      </c>
      <c r="Z70" s="54">
        <f t="shared" si="9"/>
        <v>0</v>
      </c>
      <c r="AA70" s="54">
        <f t="shared" si="10"/>
        <v>0</v>
      </c>
      <c r="AB70" s="54" t="str">
        <f t="shared" si="11"/>
        <v/>
      </c>
      <c r="AC70" s="55" t="str">
        <f t="shared" ref="AC70:AD70" si="155">if(G70="yes",1,"")</f>
        <v/>
      </c>
      <c r="AD70" s="56" t="str">
        <f t="shared" si="155"/>
        <v/>
      </c>
      <c r="AE70" s="56" t="str">
        <f t="shared" si="13"/>
        <v/>
      </c>
      <c r="AF70" s="56" t="str">
        <f t="shared" si="14"/>
        <v/>
      </c>
      <c r="AG70" s="56" t="str">
        <f t="shared" si="15"/>
        <v/>
      </c>
      <c r="AH70" s="56" t="str">
        <f t="shared" si="16"/>
        <v/>
      </c>
      <c r="AI70" s="56" t="str">
        <f t="shared" si="17"/>
        <v/>
      </c>
      <c r="AJ70" s="56" t="str">
        <f t="shared" si="18"/>
        <v/>
      </c>
      <c r="AK70" s="56" t="str">
        <f t="shared" si="19"/>
        <v/>
      </c>
      <c r="AL70" s="56" t="str">
        <f t="shared" si="20"/>
        <v/>
      </c>
      <c r="AM70" s="56" t="str">
        <f t="shared" si="21"/>
        <v/>
      </c>
      <c r="AN70" s="56" t="str">
        <f t="shared" si="22"/>
        <v/>
      </c>
      <c r="AO70" s="56" t="str">
        <f t="shared" ref="AO70:AP70" si="156">if(N70="risk",-1,"")</f>
        <v/>
      </c>
      <c r="AP70" s="56" t="str">
        <f t="shared" si="156"/>
        <v/>
      </c>
      <c r="AQ70" s="56" t="str">
        <f t="shared" si="24"/>
        <v/>
      </c>
    </row>
    <row r="71">
      <c r="A71" s="82"/>
      <c r="B71" s="41">
        <f t="shared" si="3"/>
        <v>0</v>
      </c>
      <c r="C71" s="83"/>
      <c r="D71" s="43" t="str">
        <f>IFERROR(__xludf.DUMMYFUNCTION("GOOGLEFINANCE(A71,""price"")"),"#N/A")</f>
        <v>#N/A</v>
      </c>
      <c r="E71" s="43" t="str">
        <f t="shared" si="4"/>
        <v/>
      </c>
      <c r="F71" s="44" t="str">
        <f t="shared" si="5"/>
        <v/>
      </c>
      <c r="G71" s="64"/>
      <c r="H71" s="61"/>
      <c r="I71" s="61"/>
      <c r="J71" s="61"/>
      <c r="K71" s="61"/>
      <c r="L71" s="61"/>
      <c r="M71" s="61"/>
      <c r="N71" s="61"/>
      <c r="O71" s="61"/>
      <c r="P71" s="62"/>
      <c r="Q71" s="64"/>
      <c r="R71" s="62"/>
      <c r="S71" s="59"/>
      <c r="T71" s="51">
        <v>0.05</v>
      </c>
      <c r="U71" s="60"/>
      <c r="V71" s="53">
        <v>0.8</v>
      </c>
      <c r="W71" s="54">
        <f t="shared" si="6"/>
        <v>0</v>
      </c>
      <c r="X71" s="54">
        <f t="shared" si="7"/>
        <v>0</v>
      </c>
      <c r="Y71" s="54">
        <f t="shared" si="8"/>
        <v>0</v>
      </c>
      <c r="Z71" s="54">
        <f t="shared" si="9"/>
        <v>0</v>
      </c>
      <c r="AA71" s="54">
        <f t="shared" si="10"/>
        <v>0</v>
      </c>
      <c r="AB71" s="54" t="str">
        <f t="shared" si="11"/>
        <v/>
      </c>
      <c r="AC71" s="55" t="str">
        <f t="shared" ref="AC71:AD71" si="157">if(G71="yes",1,"")</f>
        <v/>
      </c>
      <c r="AD71" s="56" t="str">
        <f t="shared" si="157"/>
        <v/>
      </c>
      <c r="AE71" s="56" t="str">
        <f t="shared" si="13"/>
        <v/>
      </c>
      <c r="AF71" s="56" t="str">
        <f t="shared" si="14"/>
        <v/>
      </c>
      <c r="AG71" s="56" t="str">
        <f t="shared" si="15"/>
        <v/>
      </c>
      <c r="AH71" s="56" t="str">
        <f t="shared" si="16"/>
        <v/>
      </c>
      <c r="AI71" s="56" t="str">
        <f t="shared" si="17"/>
        <v/>
      </c>
      <c r="AJ71" s="56" t="str">
        <f t="shared" si="18"/>
        <v/>
      </c>
      <c r="AK71" s="56" t="str">
        <f t="shared" si="19"/>
        <v/>
      </c>
      <c r="AL71" s="56" t="str">
        <f t="shared" si="20"/>
        <v/>
      </c>
      <c r="AM71" s="56" t="str">
        <f t="shared" si="21"/>
        <v/>
      </c>
      <c r="AN71" s="56" t="str">
        <f t="shared" si="22"/>
        <v/>
      </c>
      <c r="AO71" s="56" t="str">
        <f t="shared" ref="AO71:AP71" si="158">if(N71="risk",-1,"")</f>
        <v/>
      </c>
      <c r="AP71" s="56" t="str">
        <f t="shared" si="158"/>
        <v/>
      </c>
      <c r="AQ71" s="56" t="str">
        <f t="shared" si="24"/>
        <v/>
      </c>
    </row>
    <row r="72">
      <c r="A72" s="82"/>
      <c r="B72" s="41">
        <f t="shared" si="3"/>
        <v>0</v>
      </c>
      <c r="C72" s="83"/>
      <c r="D72" s="43" t="str">
        <f>IFERROR(__xludf.DUMMYFUNCTION("GOOGLEFINANCE(A72,""price"")"),"#N/A")</f>
        <v>#N/A</v>
      </c>
      <c r="E72" s="43" t="str">
        <f t="shared" si="4"/>
        <v/>
      </c>
      <c r="F72" s="44" t="str">
        <f t="shared" si="5"/>
        <v/>
      </c>
      <c r="G72" s="64"/>
      <c r="H72" s="61"/>
      <c r="I72" s="61"/>
      <c r="J72" s="61"/>
      <c r="K72" s="61"/>
      <c r="L72" s="61"/>
      <c r="M72" s="61"/>
      <c r="N72" s="61"/>
      <c r="O72" s="61"/>
      <c r="P72" s="62"/>
      <c r="Q72" s="64"/>
      <c r="R72" s="62"/>
      <c r="S72" s="59"/>
      <c r="T72" s="51">
        <v>0.05</v>
      </c>
      <c r="U72" s="60"/>
      <c r="V72" s="53">
        <v>0.8</v>
      </c>
      <c r="W72" s="54">
        <f t="shared" si="6"/>
        <v>0</v>
      </c>
      <c r="X72" s="54">
        <f t="shared" si="7"/>
        <v>0</v>
      </c>
      <c r="Y72" s="54">
        <f t="shared" si="8"/>
        <v>0</v>
      </c>
      <c r="Z72" s="54">
        <f t="shared" si="9"/>
        <v>0</v>
      </c>
      <c r="AA72" s="54">
        <f t="shared" si="10"/>
        <v>0</v>
      </c>
      <c r="AB72" s="54" t="str">
        <f t="shared" si="11"/>
        <v/>
      </c>
      <c r="AC72" s="55" t="str">
        <f t="shared" ref="AC72:AD72" si="159">if(G72="yes",1,"")</f>
        <v/>
      </c>
      <c r="AD72" s="56" t="str">
        <f t="shared" si="159"/>
        <v/>
      </c>
      <c r="AE72" s="56" t="str">
        <f t="shared" si="13"/>
        <v/>
      </c>
      <c r="AF72" s="56" t="str">
        <f t="shared" si="14"/>
        <v/>
      </c>
      <c r="AG72" s="56" t="str">
        <f t="shared" si="15"/>
        <v/>
      </c>
      <c r="AH72" s="56" t="str">
        <f t="shared" si="16"/>
        <v/>
      </c>
      <c r="AI72" s="56" t="str">
        <f t="shared" si="17"/>
        <v/>
      </c>
      <c r="AJ72" s="56" t="str">
        <f t="shared" si="18"/>
        <v/>
      </c>
      <c r="AK72" s="56" t="str">
        <f t="shared" si="19"/>
        <v/>
      </c>
      <c r="AL72" s="56" t="str">
        <f t="shared" si="20"/>
        <v/>
      </c>
      <c r="AM72" s="56" t="str">
        <f t="shared" si="21"/>
        <v/>
      </c>
      <c r="AN72" s="56" t="str">
        <f t="shared" si="22"/>
        <v/>
      </c>
      <c r="AO72" s="56" t="str">
        <f t="shared" ref="AO72:AP72" si="160">if(N72="risk",-1,"")</f>
        <v/>
      </c>
      <c r="AP72" s="56" t="str">
        <f t="shared" si="160"/>
        <v/>
      </c>
      <c r="AQ72" s="56" t="str">
        <f t="shared" si="24"/>
        <v/>
      </c>
    </row>
    <row r="73">
      <c r="A73" s="82"/>
      <c r="B73" s="41">
        <f t="shared" si="3"/>
        <v>0</v>
      </c>
      <c r="C73" s="83"/>
      <c r="D73" s="43" t="str">
        <f>IFERROR(__xludf.DUMMYFUNCTION("GOOGLEFINANCE(A73,""price"")"),"#N/A")</f>
        <v>#N/A</v>
      </c>
      <c r="E73" s="43" t="str">
        <f t="shared" si="4"/>
        <v/>
      </c>
      <c r="F73" s="44" t="str">
        <f t="shared" si="5"/>
        <v/>
      </c>
      <c r="G73" s="64"/>
      <c r="H73" s="61"/>
      <c r="I73" s="61"/>
      <c r="J73" s="61"/>
      <c r="K73" s="61"/>
      <c r="L73" s="61"/>
      <c r="M73" s="61"/>
      <c r="N73" s="61"/>
      <c r="O73" s="61"/>
      <c r="P73" s="62"/>
      <c r="Q73" s="64"/>
      <c r="R73" s="62"/>
      <c r="S73" s="59"/>
      <c r="T73" s="51">
        <v>0.05</v>
      </c>
      <c r="U73" s="60"/>
      <c r="V73" s="53">
        <v>0.8</v>
      </c>
      <c r="W73" s="54">
        <f t="shared" si="6"/>
        <v>0</v>
      </c>
      <c r="X73" s="54">
        <f t="shared" si="7"/>
        <v>0</v>
      </c>
      <c r="Y73" s="54">
        <f t="shared" si="8"/>
        <v>0</v>
      </c>
      <c r="Z73" s="54">
        <f t="shared" si="9"/>
        <v>0</v>
      </c>
      <c r="AA73" s="54">
        <f t="shared" si="10"/>
        <v>0</v>
      </c>
      <c r="AB73" s="54" t="str">
        <f t="shared" si="11"/>
        <v/>
      </c>
      <c r="AC73" s="55" t="str">
        <f t="shared" ref="AC73:AD73" si="161">if(G73="yes",1,"")</f>
        <v/>
      </c>
      <c r="AD73" s="56" t="str">
        <f t="shared" si="161"/>
        <v/>
      </c>
      <c r="AE73" s="56" t="str">
        <f t="shared" si="13"/>
        <v/>
      </c>
      <c r="AF73" s="56" t="str">
        <f t="shared" si="14"/>
        <v/>
      </c>
      <c r="AG73" s="56" t="str">
        <f t="shared" si="15"/>
        <v/>
      </c>
      <c r="AH73" s="56" t="str">
        <f t="shared" si="16"/>
        <v/>
      </c>
      <c r="AI73" s="56" t="str">
        <f t="shared" si="17"/>
        <v/>
      </c>
      <c r="AJ73" s="56" t="str">
        <f t="shared" si="18"/>
        <v/>
      </c>
      <c r="AK73" s="56" t="str">
        <f t="shared" si="19"/>
        <v/>
      </c>
      <c r="AL73" s="56" t="str">
        <f t="shared" si="20"/>
        <v/>
      </c>
      <c r="AM73" s="56" t="str">
        <f t="shared" si="21"/>
        <v/>
      </c>
      <c r="AN73" s="56" t="str">
        <f t="shared" si="22"/>
        <v/>
      </c>
      <c r="AO73" s="56" t="str">
        <f t="shared" ref="AO73:AP73" si="162">if(N73="risk",-1,"")</f>
        <v/>
      </c>
      <c r="AP73" s="56" t="str">
        <f t="shared" si="162"/>
        <v/>
      </c>
      <c r="AQ73" s="56" t="str">
        <f t="shared" si="24"/>
        <v/>
      </c>
    </row>
    <row r="74">
      <c r="A74" s="82"/>
      <c r="B74" s="41">
        <f t="shared" si="3"/>
        <v>0</v>
      </c>
      <c r="C74" s="83"/>
      <c r="D74" s="43" t="str">
        <f>IFERROR(__xludf.DUMMYFUNCTION("GOOGLEFINANCE(A74,""price"")"),"#N/A")</f>
        <v>#N/A</v>
      </c>
      <c r="E74" s="43" t="str">
        <f t="shared" si="4"/>
        <v/>
      </c>
      <c r="F74" s="44" t="str">
        <f t="shared" si="5"/>
        <v/>
      </c>
      <c r="G74" s="64"/>
      <c r="H74" s="61"/>
      <c r="I74" s="61"/>
      <c r="J74" s="61"/>
      <c r="K74" s="61"/>
      <c r="L74" s="61"/>
      <c r="M74" s="61"/>
      <c r="N74" s="61"/>
      <c r="O74" s="61"/>
      <c r="P74" s="62"/>
      <c r="Q74" s="64"/>
      <c r="R74" s="62"/>
      <c r="S74" s="59"/>
      <c r="T74" s="51">
        <v>0.05</v>
      </c>
      <c r="U74" s="60"/>
      <c r="V74" s="53">
        <v>0.8</v>
      </c>
      <c r="W74" s="54">
        <f t="shared" si="6"/>
        <v>0</v>
      </c>
      <c r="X74" s="54">
        <f t="shared" si="7"/>
        <v>0</v>
      </c>
      <c r="Y74" s="54">
        <f t="shared" si="8"/>
        <v>0</v>
      </c>
      <c r="Z74" s="54">
        <f t="shared" si="9"/>
        <v>0</v>
      </c>
      <c r="AA74" s="54">
        <f t="shared" si="10"/>
        <v>0</v>
      </c>
      <c r="AB74" s="54" t="str">
        <f t="shared" si="11"/>
        <v/>
      </c>
      <c r="AC74" s="55" t="str">
        <f t="shared" ref="AC74:AD74" si="163">if(G74="yes",1,"")</f>
        <v/>
      </c>
      <c r="AD74" s="56" t="str">
        <f t="shared" si="163"/>
        <v/>
      </c>
      <c r="AE74" s="56" t="str">
        <f t="shared" si="13"/>
        <v/>
      </c>
      <c r="AF74" s="56" t="str">
        <f t="shared" si="14"/>
        <v/>
      </c>
      <c r="AG74" s="56" t="str">
        <f t="shared" si="15"/>
        <v/>
      </c>
      <c r="AH74" s="56" t="str">
        <f t="shared" si="16"/>
        <v/>
      </c>
      <c r="AI74" s="56" t="str">
        <f t="shared" si="17"/>
        <v/>
      </c>
      <c r="AJ74" s="56" t="str">
        <f t="shared" si="18"/>
        <v/>
      </c>
      <c r="AK74" s="56" t="str">
        <f t="shared" si="19"/>
        <v/>
      </c>
      <c r="AL74" s="56" t="str">
        <f t="shared" si="20"/>
        <v/>
      </c>
      <c r="AM74" s="56" t="str">
        <f t="shared" si="21"/>
        <v/>
      </c>
      <c r="AN74" s="56" t="str">
        <f t="shared" si="22"/>
        <v/>
      </c>
      <c r="AO74" s="56" t="str">
        <f t="shared" ref="AO74:AP74" si="164">if(N74="risk",-1,"")</f>
        <v/>
      </c>
      <c r="AP74" s="56" t="str">
        <f t="shared" si="164"/>
        <v/>
      </c>
      <c r="AQ74" s="56" t="str">
        <f t="shared" si="24"/>
        <v/>
      </c>
    </row>
    <row r="75">
      <c r="A75" s="82"/>
      <c r="B75" s="41">
        <f t="shared" si="3"/>
        <v>0</v>
      </c>
      <c r="C75" s="83"/>
      <c r="D75" s="43" t="str">
        <f>IFERROR(__xludf.DUMMYFUNCTION("GOOGLEFINANCE(A75,""price"")"),"#N/A")</f>
        <v>#N/A</v>
      </c>
      <c r="E75" s="43" t="str">
        <f t="shared" si="4"/>
        <v/>
      </c>
      <c r="F75" s="44" t="str">
        <f t="shared" si="5"/>
        <v/>
      </c>
      <c r="G75" s="64"/>
      <c r="H75" s="61"/>
      <c r="I75" s="61"/>
      <c r="J75" s="61"/>
      <c r="K75" s="61"/>
      <c r="L75" s="61"/>
      <c r="M75" s="61"/>
      <c r="N75" s="61"/>
      <c r="O75" s="61"/>
      <c r="P75" s="62"/>
      <c r="Q75" s="64"/>
      <c r="R75" s="62"/>
      <c r="S75" s="59"/>
      <c r="T75" s="51">
        <v>0.05</v>
      </c>
      <c r="U75" s="60"/>
      <c r="V75" s="53">
        <v>0.8</v>
      </c>
      <c r="W75" s="54">
        <f t="shared" si="6"/>
        <v>0</v>
      </c>
      <c r="X75" s="54">
        <f t="shared" si="7"/>
        <v>0</v>
      </c>
      <c r="Y75" s="54">
        <f t="shared" si="8"/>
        <v>0</v>
      </c>
      <c r="Z75" s="54">
        <f t="shared" si="9"/>
        <v>0</v>
      </c>
      <c r="AA75" s="54">
        <f t="shared" si="10"/>
        <v>0</v>
      </c>
      <c r="AB75" s="54" t="str">
        <f t="shared" si="11"/>
        <v/>
      </c>
      <c r="AC75" s="55" t="str">
        <f t="shared" ref="AC75:AD75" si="165">if(G75="yes",1,"")</f>
        <v/>
      </c>
      <c r="AD75" s="56" t="str">
        <f t="shared" si="165"/>
        <v/>
      </c>
      <c r="AE75" s="56" t="str">
        <f t="shared" si="13"/>
        <v/>
      </c>
      <c r="AF75" s="56" t="str">
        <f t="shared" si="14"/>
        <v/>
      </c>
      <c r="AG75" s="56" t="str">
        <f t="shared" si="15"/>
        <v/>
      </c>
      <c r="AH75" s="56" t="str">
        <f t="shared" si="16"/>
        <v/>
      </c>
      <c r="AI75" s="56" t="str">
        <f t="shared" si="17"/>
        <v/>
      </c>
      <c r="AJ75" s="56" t="str">
        <f t="shared" si="18"/>
        <v/>
      </c>
      <c r="AK75" s="56" t="str">
        <f t="shared" si="19"/>
        <v/>
      </c>
      <c r="AL75" s="56" t="str">
        <f t="shared" si="20"/>
        <v/>
      </c>
      <c r="AM75" s="56" t="str">
        <f t="shared" si="21"/>
        <v/>
      </c>
      <c r="AN75" s="56" t="str">
        <f t="shared" si="22"/>
        <v/>
      </c>
      <c r="AO75" s="56" t="str">
        <f t="shared" ref="AO75:AP75" si="166">if(N75="risk",-1,"")</f>
        <v/>
      </c>
      <c r="AP75" s="56" t="str">
        <f t="shared" si="166"/>
        <v/>
      </c>
      <c r="AQ75" s="56" t="str">
        <f t="shared" si="24"/>
        <v/>
      </c>
    </row>
    <row r="76">
      <c r="A76" s="82"/>
      <c r="B76" s="41">
        <f t="shared" si="3"/>
        <v>0</v>
      </c>
      <c r="C76" s="83"/>
      <c r="D76" s="43" t="str">
        <f>IFERROR(__xludf.DUMMYFUNCTION("GOOGLEFINANCE(A76,""price"")"),"#N/A")</f>
        <v>#N/A</v>
      </c>
      <c r="E76" s="43" t="str">
        <f t="shared" si="4"/>
        <v/>
      </c>
      <c r="F76" s="44" t="str">
        <f t="shared" si="5"/>
        <v/>
      </c>
      <c r="G76" s="64"/>
      <c r="H76" s="61"/>
      <c r="I76" s="61"/>
      <c r="J76" s="61"/>
      <c r="K76" s="61"/>
      <c r="L76" s="61"/>
      <c r="M76" s="61"/>
      <c r="N76" s="61"/>
      <c r="O76" s="61"/>
      <c r="P76" s="62"/>
      <c r="Q76" s="64"/>
      <c r="R76" s="62"/>
      <c r="S76" s="59"/>
      <c r="T76" s="51">
        <v>0.05</v>
      </c>
      <c r="U76" s="60"/>
      <c r="V76" s="53">
        <v>0.8</v>
      </c>
      <c r="W76" s="54">
        <f t="shared" si="6"/>
        <v>0</v>
      </c>
      <c r="X76" s="54">
        <f t="shared" si="7"/>
        <v>0</v>
      </c>
      <c r="Y76" s="54">
        <f t="shared" si="8"/>
        <v>0</v>
      </c>
      <c r="Z76" s="54">
        <f t="shared" si="9"/>
        <v>0</v>
      </c>
      <c r="AA76" s="54">
        <f t="shared" si="10"/>
        <v>0</v>
      </c>
      <c r="AB76" s="54" t="str">
        <f t="shared" si="11"/>
        <v/>
      </c>
      <c r="AC76" s="55" t="str">
        <f t="shared" ref="AC76:AD76" si="167">if(G76="yes",1,"")</f>
        <v/>
      </c>
      <c r="AD76" s="56" t="str">
        <f t="shared" si="167"/>
        <v/>
      </c>
      <c r="AE76" s="56" t="str">
        <f t="shared" si="13"/>
        <v/>
      </c>
      <c r="AF76" s="56" t="str">
        <f t="shared" si="14"/>
        <v/>
      </c>
      <c r="AG76" s="56" t="str">
        <f t="shared" si="15"/>
        <v/>
      </c>
      <c r="AH76" s="56" t="str">
        <f t="shared" si="16"/>
        <v/>
      </c>
      <c r="AI76" s="56" t="str">
        <f t="shared" si="17"/>
        <v/>
      </c>
      <c r="AJ76" s="56" t="str">
        <f t="shared" si="18"/>
        <v/>
      </c>
      <c r="AK76" s="56" t="str">
        <f t="shared" si="19"/>
        <v/>
      </c>
      <c r="AL76" s="56" t="str">
        <f t="shared" si="20"/>
        <v/>
      </c>
      <c r="AM76" s="56" t="str">
        <f t="shared" si="21"/>
        <v/>
      </c>
      <c r="AN76" s="56" t="str">
        <f t="shared" si="22"/>
        <v/>
      </c>
      <c r="AO76" s="56" t="str">
        <f t="shared" ref="AO76:AP76" si="168">if(N76="risk",-1,"")</f>
        <v/>
      </c>
      <c r="AP76" s="56" t="str">
        <f t="shared" si="168"/>
        <v/>
      </c>
      <c r="AQ76" s="56" t="str">
        <f t="shared" si="24"/>
        <v/>
      </c>
    </row>
    <row r="77">
      <c r="A77" s="82"/>
      <c r="B77" s="41">
        <f t="shared" si="3"/>
        <v>0</v>
      </c>
      <c r="C77" s="83"/>
      <c r="D77" s="43" t="str">
        <f>IFERROR(__xludf.DUMMYFUNCTION("GOOGLEFINANCE(A77,""price"")"),"#N/A")</f>
        <v>#N/A</v>
      </c>
      <c r="E77" s="43" t="str">
        <f t="shared" si="4"/>
        <v/>
      </c>
      <c r="F77" s="44" t="str">
        <f t="shared" si="5"/>
        <v/>
      </c>
      <c r="G77" s="64"/>
      <c r="H77" s="61"/>
      <c r="I77" s="61"/>
      <c r="J77" s="61"/>
      <c r="K77" s="61"/>
      <c r="L77" s="61"/>
      <c r="M77" s="61"/>
      <c r="N77" s="61"/>
      <c r="O77" s="61"/>
      <c r="P77" s="62"/>
      <c r="Q77" s="64"/>
      <c r="R77" s="62"/>
      <c r="S77" s="59"/>
      <c r="T77" s="51">
        <v>0.05</v>
      </c>
      <c r="U77" s="60"/>
      <c r="V77" s="53">
        <v>0.8</v>
      </c>
      <c r="W77" s="54">
        <f t="shared" si="6"/>
        <v>0</v>
      </c>
      <c r="X77" s="54">
        <f t="shared" si="7"/>
        <v>0</v>
      </c>
      <c r="Y77" s="54">
        <f t="shared" si="8"/>
        <v>0</v>
      </c>
      <c r="Z77" s="54">
        <f t="shared" si="9"/>
        <v>0</v>
      </c>
      <c r="AA77" s="54">
        <f t="shared" si="10"/>
        <v>0</v>
      </c>
      <c r="AB77" s="54" t="str">
        <f t="shared" si="11"/>
        <v/>
      </c>
      <c r="AC77" s="55" t="str">
        <f t="shared" ref="AC77:AD77" si="169">if(G77="yes",1,"")</f>
        <v/>
      </c>
      <c r="AD77" s="56" t="str">
        <f t="shared" si="169"/>
        <v/>
      </c>
      <c r="AE77" s="56" t="str">
        <f t="shared" si="13"/>
        <v/>
      </c>
      <c r="AF77" s="56" t="str">
        <f t="shared" si="14"/>
        <v/>
      </c>
      <c r="AG77" s="56" t="str">
        <f t="shared" si="15"/>
        <v/>
      </c>
      <c r="AH77" s="56" t="str">
        <f t="shared" si="16"/>
        <v/>
      </c>
      <c r="AI77" s="56" t="str">
        <f t="shared" si="17"/>
        <v/>
      </c>
      <c r="AJ77" s="56" t="str">
        <f t="shared" si="18"/>
        <v/>
      </c>
      <c r="AK77" s="56" t="str">
        <f t="shared" si="19"/>
        <v/>
      </c>
      <c r="AL77" s="56" t="str">
        <f t="shared" si="20"/>
        <v/>
      </c>
      <c r="AM77" s="56" t="str">
        <f t="shared" si="21"/>
        <v/>
      </c>
      <c r="AN77" s="56" t="str">
        <f t="shared" si="22"/>
        <v/>
      </c>
      <c r="AO77" s="56" t="str">
        <f t="shared" ref="AO77:AP77" si="170">if(N77="risk",-1,"")</f>
        <v/>
      </c>
      <c r="AP77" s="56" t="str">
        <f t="shared" si="170"/>
        <v/>
      </c>
      <c r="AQ77" s="56" t="str">
        <f t="shared" si="24"/>
        <v/>
      </c>
    </row>
    <row r="78">
      <c r="A78" s="82"/>
      <c r="B78" s="41">
        <f t="shared" si="3"/>
        <v>0</v>
      </c>
      <c r="C78" s="83"/>
      <c r="D78" s="43" t="str">
        <f>IFERROR(__xludf.DUMMYFUNCTION("GOOGLEFINANCE(A78,""price"")"),"#N/A")</f>
        <v>#N/A</v>
      </c>
      <c r="E78" s="43" t="str">
        <f t="shared" si="4"/>
        <v/>
      </c>
      <c r="F78" s="44" t="str">
        <f t="shared" si="5"/>
        <v/>
      </c>
      <c r="G78" s="64"/>
      <c r="H78" s="61"/>
      <c r="I78" s="61"/>
      <c r="J78" s="61"/>
      <c r="K78" s="61"/>
      <c r="L78" s="61"/>
      <c r="M78" s="61"/>
      <c r="N78" s="61"/>
      <c r="O78" s="61"/>
      <c r="P78" s="62"/>
      <c r="Q78" s="64"/>
      <c r="R78" s="62"/>
      <c r="S78" s="59"/>
      <c r="T78" s="51">
        <v>0.05</v>
      </c>
      <c r="U78" s="60"/>
      <c r="V78" s="53">
        <v>0.8</v>
      </c>
      <c r="W78" s="54">
        <f t="shared" si="6"/>
        <v>0</v>
      </c>
      <c r="X78" s="54">
        <f t="shared" si="7"/>
        <v>0</v>
      </c>
      <c r="Y78" s="54">
        <f t="shared" si="8"/>
        <v>0</v>
      </c>
      <c r="Z78" s="54">
        <f t="shared" si="9"/>
        <v>0</v>
      </c>
      <c r="AA78" s="54">
        <f t="shared" si="10"/>
        <v>0</v>
      </c>
      <c r="AB78" s="54" t="str">
        <f t="shared" si="11"/>
        <v/>
      </c>
      <c r="AC78" s="55" t="str">
        <f t="shared" ref="AC78:AD78" si="171">if(G78="yes",1,"")</f>
        <v/>
      </c>
      <c r="AD78" s="56" t="str">
        <f t="shared" si="171"/>
        <v/>
      </c>
      <c r="AE78" s="56" t="str">
        <f t="shared" si="13"/>
        <v/>
      </c>
      <c r="AF78" s="56" t="str">
        <f t="shared" si="14"/>
        <v/>
      </c>
      <c r="AG78" s="56" t="str">
        <f t="shared" si="15"/>
        <v/>
      </c>
      <c r="AH78" s="56" t="str">
        <f t="shared" si="16"/>
        <v/>
      </c>
      <c r="AI78" s="56" t="str">
        <f t="shared" si="17"/>
        <v/>
      </c>
      <c r="AJ78" s="56" t="str">
        <f t="shared" si="18"/>
        <v/>
      </c>
      <c r="AK78" s="56" t="str">
        <f t="shared" si="19"/>
        <v/>
      </c>
      <c r="AL78" s="56" t="str">
        <f t="shared" si="20"/>
        <v/>
      </c>
      <c r="AM78" s="56" t="str">
        <f t="shared" si="21"/>
        <v/>
      </c>
      <c r="AN78" s="56" t="str">
        <f t="shared" si="22"/>
        <v/>
      </c>
      <c r="AO78" s="56" t="str">
        <f t="shared" ref="AO78:AP78" si="172">if(N78="risk",-1,"")</f>
        <v/>
      </c>
      <c r="AP78" s="56" t="str">
        <f t="shared" si="172"/>
        <v/>
      </c>
      <c r="AQ78" s="56" t="str">
        <f t="shared" si="24"/>
        <v/>
      </c>
    </row>
    <row r="79">
      <c r="A79" s="82"/>
      <c r="B79" s="41">
        <f t="shared" si="3"/>
        <v>0</v>
      </c>
      <c r="C79" s="83"/>
      <c r="D79" s="43" t="str">
        <f>IFERROR(__xludf.DUMMYFUNCTION("GOOGLEFINANCE(A79,""price"")"),"#N/A")</f>
        <v>#N/A</v>
      </c>
      <c r="E79" s="43" t="str">
        <f t="shared" si="4"/>
        <v/>
      </c>
      <c r="F79" s="44" t="str">
        <f t="shared" si="5"/>
        <v/>
      </c>
      <c r="G79" s="64"/>
      <c r="H79" s="61"/>
      <c r="I79" s="61"/>
      <c r="J79" s="61"/>
      <c r="K79" s="61"/>
      <c r="L79" s="61"/>
      <c r="M79" s="61"/>
      <c r="N79" s="61"/>
      <c r="O79" s="61"/>
      <c r="P79" s="62"/>
      <c r="Q79" s="64"/>
      <c r="R79" s="62"/>
      <c r="S79" s="59"/>
      <c r="T79" s="51">
        <v>0.05</v>
      </c>
      <c r="U79" s="60"/>
      <c r="V79" s="53">
        <v>0.8</v>
      </c>
      <c r="W79" s="54">
        <f t="shared" si="6"/>
        <v>0</v>
      </c>
      <c r="X79" s="54">
        <f t="shared" si="7"/>
        <v>0</v>
      </c>
      <c r="Y79" s="54">
        <f t="shared" si="8"/>
        <v>0</v>
      </c>
      <c r="Z79" s="54">
        <f t="shared" si="9"/>
        <v>0</v>
      </c>
      <c r="AA79" s="54">
        <f t="shared" si="10"/>
        <v>0</v>
      </c>
      <c r="AB79" s="54" t="str">
        <f t="shared" si="11"/>
        <v/>
      </c>
      <c r="AC79" s="55" t="str">
        <f t="shared" ref="AC79:AD79" si="173">if(G79="yes",1,"")</f>
        <v/>
      </c>
      <c r="AD79" s="56" t="str">
        <f t="shared" si="173"/>
        <v/>
      </c>
      <c r="AE79" s="56" t="str">
        <f t="shared" si="13"/>
        <v/>
      </c>
      <c r="AF79" s="56" t="str">
        <f t="shared" si="14"/>
        <v/>
      </c>
      <c r="AG79" s="56" t="str">
        <f t="shared" si="15"/>
        <v/>
      </c>
      <c r="AH79" s="56" t="str">
        <f t="shared" si="16"/>
        <v/>
      </c>
      <c r="AI79" s="56" t="str">
        <f t="shared" si="17"/>
        <v/>
      </c>
      <c r="AJ79" s="56" t="str">
        <f t="shared" si="18"/>
        <v/>
      </c>
      <c r="AK79" s="56" t="str">
        <f t="shared" si="19"/>
        <v/>
      </c>
      <c r="AL79" s="56" t="str">
        <f t="shared" si="20"/>
        <v/>
      </c>
      <c r="AM79" s="56" t="str">
        <f t="shared" si="21"/>
        <v/>
      </c>
      <c r="AN79" s="56" t="str">
        <f t="shared" si="22"/>
        <v/>
      </c>
      <c r="AO79" s="56" t="str">
        <f t="shared" ref="AO79:AP79" si="174">if(N79="risk",-1,"")</f>
        <v/>
      </c>
      <c r="AP79" s="56" t="str">
        <f t="shared" si="174"/>
        <v/>
      </c>
      <c r="AQ79" s="56" t="str">
        <f t="shared" si="24"/>
        <v/>
      </c>
    </row>
    <row r="80">
      <c r="A80" s="82"/>
      <c r="B80" s="41">
        <f t="shared" si="3"/>
        <v>0</v>
      </c>
      <c r="C80" s="83"/>
      <c r="D80" s="43" t="str">
        <f>IFERROR(__xludf.DUMMYFUNCTION("GOOGLEFINANCE(A80,""price"")"),"#N/A")</f>
        <v>#N/A</v>
      </c>
      <c r="E80" s="43" t="str">
        <f t="shared" si="4"/>
        <v/>
      </c>
      <c r="F80" s="44" t="str">
        <f t="shared" si="5"/>
        <v/>
      </c>
      <c r="G80" s="64"/>
      <c r="H80" s="61"/>
      <c r="I80" s="61"/>
      <c r="J80" s="61"/>
      <c r="K80" s="61"/>
      <c r="L80" s="61"/>
      <c r="M80" s="61"/>
      <c r="N80" s="61"/>
      <c r="O80" s="61"/>
      <c r="P80" s="62"/>
      <c r="Q80" s="64"/>
      <c r="R80" s="62"/>
      <c r="S80" s="59"/>
      <c r="T80" s="51">
        <v>0.05</v>
      </c>
      <c r="U80" s="60"/>
      <c r="V80" s="53">
        <v>0.8</v>
      </c>
      <c r="W80" s="54">
        <f t="shared" si="6"/>
        <v>0</v>
      </c>
      <c r="X80" s="54">
        <f t="shared" si="7"/>
        <v>0</v>
      </c>
      <c r="Y80" s="54">
        <f t="shared" si="8"/>
        <v>0</v>
      </c>
      <c r="Z80" s="54">
        <f t="shared" si="9"/>
        <v>0</v>
      </c>
      <c r="AA80" s="54">
        <f t="shared" si="10"/>
        <v>0</v>
      </c>
      <c r="AB80" s="54" t="str">
        <f t="shared" si="11"/>
        <v/>
      </c>
      <c r="AC80" s="55" t="str">
        <f t="shared" ref="AC80:AD80" si="175">if(G80="yes",1,"")</f>
        <v/>
      </c>
      <c r="AD80" s="56" t="str">
        <f t="shared" si="175"/>
        <v/>
      </c>
      <c r="AE80" s="56" t="str">
        <f t="shared" si="13"/>
        <v/>
      </c>
      <c r="AF80" s="56" t="str">
        <f t="shared" si="14"/>
        <v/>
      </c>
      <c r="AG80" s="56" t="str">
        <f t="shared" si="15"/>
        <v/>
      </c>
      <c r="AH80" s="56" t="str">
        <f t="shared" si="16"/>
        <v/>
      </c>
      <c r="AI80" s="56" t="str">
        <f t="shared" si="17"/>
        <v/>
      </c>
      <c r="AJ80" s="56" t="str">
        <f t="shared" si="18"/>
        <v/>
      </c>
      <c r="AK80" s="56" t="str">
        <f t="shared" si="19"/>
        <v/>
      </c>
      <c r="AL80" s="56" t="str">
        <f t="shared" si="20"/>
        <v/>
      </c>
      <c r="AM80" s="56" t="str">
        <f t="shared" si="21"/>
        <v/>
      </c>
      <c r="AN80" s="56" t="str">
        <f t="shared" si="22"/>
        <v/>
      </c>
      <c r="AO80" s="56" t="str">
        <f t="shared" ref="AO80:AP80" si="176">if(N80="risk",-1,"")</f>
        <v/>
      </c>
      <c r="AP80" s="56" t="str">
        <f t="shared" si="176"/>
        <v/>
      </c>
      <c r="AQ80" s="56" t="str">
        <f t="shared" si="24"/>
        <v/>
      </c>
    </row>
    <row r="81">
      <c r="A81" s="82"/>
      <c r="B81" s="41">
        <f t="shared" si="3"/>
        <v>0</v>
      </c>
      <c r="C81" s="83"/>
      <c r="D81" s="43" t="str">
        <f>IFERROR(__xludf.DUMMYFUNCTION("GOOGLEFINANCE(A81,""price"")"),"#N/A")</f>
        <v>#N/A</v>
      </c>
      <c r="E81" s="43" t="str">
        <f t="shared" si="4"/>
        <v/>
      </c>
      <c r="F81" s="44" t="str">
        <f t="shared" si="5"/>
        <v/>
      </c>
      <c r="G81" s="64"/>
      <c r="H81" s="61"/>
      <c r="I81" s="61"/>
      <c r="J81" s="61"/>
      <c r="K81" s="61"/>
      <c r="L81" s="61"/>
      <c r="M81" s="61"/>
      <c r="N81" s="61"/>
      <c r="O81" s="61"/>
      <c r="P81" s="62"/>
      <c r="Q81" s="64"/>
      <c r="R81" s="62"/>
      <c r="S81" s="59"/>
      <c r="T81" s="51">
        <v>0.05</v>
      </c>
      <c r="U81" s="60"/>
      <c r="V81" s="53">
        <v>0.8</v>
      </c>
      <c r="W81" s="54">
        <f t="shared" si="6"/>
        <v>0</v>
      </c>
      <c r="X81" s="54">
        <f t="shared" si="7"/>
        <v>0</v>
      </c>
      <c r="Y81" s="54">
        <f t="shared" si="8"/>
        <v>0</v>
      </c>
      <c r="Z81" s="54">
        <f t="shared" si="9"/>
        <v>0</v>
      </c>
      <c r="AA81" s="54">
        <f t="shared" si="10"/>
        <v>0</v>
      </c>
      <c r="AB81" s="54" t="str">
        <f t="shared" si="11"/>
        <v/>
      </c>
      <c r="AC81" s="55" t="str">
        <f t="shared" ref="AC81:AD81" si="177">if(G81="yes",1,"")</f>
        <v/>
      </c>
      <c r="AD81" s="56" t="str">
        <f t="shared" si="177"/>
        <v/>
      </c>
      <c r="AE81" s="56" t="str">
        <f t="shared" si="13"/>
        <v/>
      </c>
      <c r="AF81" s="56" t="str">
        <f t="shared" si="14"/>
        <v/>
      </c>
      <c r="AG81" s="56" t="str">
        <f t="shared" si="15"/>
        <v/>
      </c>
      <c r="AH81" s="56" t="str">
        <f t="shared" si="16"/>
        <v/>
      </c>
      <c r="AI81" s="56" t="str">
        <f t="shared" si="17"/>
        <v/>
      </c>
      <c r="AJ81" s="56" t="str">
        <f t="shared" si="18"/>
        <v/>
      </c>
      <c r="AK81" s="56" t="str">
        <f t="shared" si="19"/>
        <v/>
      </c>
      <c r="AL81" s="56" t="str">
        <f t="shared" si="20"/>
        <v/>
      </c>
      <c r="AM81" s="56" t="str">
        <f t="shared" si="21"/>
        <v/>
      </c>
      <c r="AN81" s="56" t="str">
        <f t="shared" si="22"/>
        <v/>
      </c>
      <c r="AO81" s="56" t="str">
        <f t="shared" ref="AO81:AP81" si="178">if(N81="risk",-1,"")</f>
        <v/>
      </c>
      <c r="AP81" s="56" t="str">
        <f t="shared" si="178"/>
        <v/>
      </c>
      <c r="AQ81" s="56" t="str">
        <f t="shared" si="24"/>
        <v/>
      </c>
    </row>
    <row r="82">
      <c r="A82" s="82"/>
      <c r="B82" s="41">
        <f t="shared" si="3"/>
        <v>0</v>
      </c>
      <c r="C82" s="83"/>
      <c r="D82" s="43" t="str">
        <f>IFERROR(__xludf.DUMMYFUNCTION("GOOGLEFINANCE(A82,""price"")"),"#N/A")</f>
        <v>#N/A</v>
      </c>
      <c r="E82" s="43" t="str">
        <f t="shared" si="4"/>
        <v/>
      </c>
      <c r="F82" s="44" t="str">
        <f t="shared" si="5"/>
        <v/>
      </c>
      <c r="G82" s="64"/>
      <c r="H82" s="61"/>
      <c r="I82" s="61"/>
      <c r="J82" s="61"/>
      <c r="K82" s="61"/>
      <c r="L82" s="61"/>
      <c r="M82" s="61"/>
      <c r="N82" s="61"/>
      <c r="O82" s="61"/>
      <c r="P82" s="62"/>
      <c r="Q82" s="64"/>
      <c r="R82" s="62"/>
      <c r="S82" s="59"/>
      <c r="T82" s="51">
        <v>0.05</v>
      </c>
      <c r="U82" s="60"/>
      <c r="V82" s="53">
        <v>0.8</v>
      </c>
      <c r="W82" s="54">
        <f t="shared" si="6"/>
        <v>0</v>
      </c>
      <c r="X82" s="54">
        <f t="shared" si="7"/>
        <v>0</v>
      </c>
      <c r="Y82" s="54">
        <f t="shared" si="8"/>
        <v>0</v>
      </c>
      <c r="Z82" s="54">
        <f t="shared" si="9"/>
        <v>0</v>
      </c>
      <c r="AA82" s="54">
        <f t="shared" si="10"/>
        <v>0</v>
      </c>
      <c r="AB82" s="54" t="str">
        <f t="shared" si="11"/>
        <v/>
      </c>
      <c r="AC82" s="55" t="str">
        <f t="shared" ref="AC82:AD82" si="179">if(G82="yes",1,"")</f>
        <v/>
      </c>
      <c r="AD82" s="56" t="str">
        <f t="shared" si="179"/>
        <v/>
      </c>
      <c r="AE82" s="56" t="str">
        <f t="shared" si="13"/>
        <v/>
      </c>
      <c r="AF82" s="56" t="str">
        <f t="shared" si="14"/>
        <v/>
      </c>
      <c r="AG82" s="56" t="str">
        <f t="shared" si="15"/>
        <v/>
      </c>
      <c r="AH82" s="56" t="str">
        <f t="shared" si="16"/>
        <v/>
      </c>
      <c r="AI82" s="56" t="str">
        <f t="shared" si="17"/>
        <v/>
      </c>
      <c r="AJ82" s="56" t="str">
        <f t="shared" si="18"/>
        <v/>
      </c>
      <c r="AK82" s="56" t="str">
        <f t="shared" si="19"/>
        <v/>
      </c>
      <c r="AL82" s="56" t="str">
        <f t="shared" si="20"/>
        <v/>
      </c>
      <c r="AM82" s="56" t="str">
        <f t="shared" si="21"/>
        <v/>
      </c>
      <c r="AN82" s="56" t="str">
        <f t="shared" si="22"/>
        <v/>
      </c>
      <c r="AO82" s="56" t="str">
        <f t="shared" ref="AO82:AP82" si="180">if(N82="risk",-1,"")</f>
        <v/>
      </c>
      <c r="AP82" s="56" t="str">
        <f t="shared" si="180"/>
        <v/>
      </c>
      <c r="AQ82" s="56" t="str">
        <f t="shared" si="24"/>
        <v/>
      </c>
    </row>
    <row r="83">
      <c r="A83" s="82"/>
      <c r="B83" s="41">
        <f t="shared" si="3"/>
        <v>0</v>
      </c>
      <c r="C83" s="83"/>
      <c r="D83" s="43" t="str">
        <f>IFERROR(__xludf.DUMMYFUNCTION("GOOGLEFINANCE(A83,""price"")"),"#N/A")</f>
        <v>#N/A</v>
      </c>
      <c r="E83" s="43" t="str">
        <f t="shared" si="4"/>
        <v/>
      </c>
      <c r="F83" s="44" t="str">
        <f t="shared" si="5"/>
        <v/>
      </c>
      <c r="G83" s="64"/>
      <c r="H83" s="61"/>
      <c r="I83" s="61"/>
      <c r="J83" s="61"/>
      <c r="K83" s="61"/>
      <c r="L83" s="61"/>
      <c r="M83" s="61"/>
      <c r="N83" s="61"/>
      <c r="O83" s="61"/>
      <c r="P83" s="62"/>
      <c r="Q83" s="64"/>
      <c r="R83" s="62"/>
      <c r="S83" s="59"/>
      <c r="T83" s="51">
        <v>0.05</v>
      </c>
      <c r="U83" s="60"/>
      <c r="V83" s="53">
        <v>0.8</v>
      </c>
      <c r="W83" s="54">
        <f t="shared" si="6"/>
        <v>0</v>
      </c>
      <c r="X83" s="54">
        <f t="shared" si="7"/>
        <v>0</v>
      </c>
      <c r="Y83" s="54">
        <f t="shared" si="8"/>
        <v>0</v>
      </c>
      <c r="Z83" s="54">
        <f t="shared" si="9"/>
        <v>0</v>
      </c>
      <c r="AA83" s="54">
        <f t="shared" si="10"/>
        <v>0</v>
      </c>
      <c r="AB83" s="54" t="str">
        <f t="shared" si="11"/>
        <v/>
      </c>
      <c r="AC83" s="55" t="str">
        <f t="shared" ref="AC83:AD83" si="181">if(G83="yes",1,"")</f>
        <v/>
      </c>
      <c r="AD83" s="56" t="str">
        <f t="shared" si="181"/>
        <v/>
      </c>
      <c r="AE83" s="56" t="str">
        <f t="shared" si="13"/>
        <v/>
      </c>
      <c r="AF83" s="56" t="str">
        <f t="shared" si="14"/>
        <v/>
      </c>
      <c r="AG83" s="56" t="str">
        <f t="shared" si="15"/>
        <v/>
      </c>
      <c r="AH83" s="56" t="str">
        <f t="shared" si="16"/>
        <v/>
      </c>
      <c r="AI83" s="56" t="str">
        <f t="shared" si="17"/>
        <v/>
      </c>
      <c r="AJ83" s="56" t="str">
        <f t="shared" si="18"/>
        <v/>
      </c>
      <c r="AK83" s="56" t="str">
        <f t="shared" si="19"/>
        <v/>
      </c>
      <c r="AL83" s="56" t="str">
        <f t="shared" si="20"/>
        <v/>
      </c>
      <c r="AM83" s="56" t="str">
        <f t="shared" si="21"/>
        <v/>
      </c>
      <c r="AN83" s="56" t="str">
        <f t="shared" si="22"/>
        <v/>
      </c>
      <c r="AO83" s="56" t="str">
        <f t="shared" ref="AO83:AP83" si="182">if(N83="risk",-1,"")</f>
        <v/>
      </c>
      <c r="AP83" s="56" t="str">
        <f t="shared" si="182"/>
        <v/>
      </c>
      <c r="AQ83" s="56" t="str">
        <f t="shared" si="24"/>
        <v/>
      </c>
    </row>
    <row r="84">
      <c r="A84" s="82"/>
      <c r="B84" s="41">
        <f t="shared" si="3"/>
        <v>0</v>
      </c>
      <c r="C84" s="83"/>
      <c r="D84" s="43" t="str">
        <f>IFERROR(__xludf.DUMMYFUNCTION("GOOGLEFINANCE(A84,""price"")"),"#N/A")</f>
        <v>#N/A</v>
      </c>
      <c r="E84" s="43" t="str">
        <f t="shared" si="4"/>
        <v/>
      </c>
      <c r="F84" s="44" t="str">
        <f t="shared" si="5"/>
        <v/>
      </c>
      <c r="G84" s="64"/>
      <c r="H84" s="61"/>
      <c r="I84" s="61"/>
      <c r="J84" s="61"/>
      <c r="K84" s="61"/>
      <c r="L84" s="61"/>
      <c r="M84" s="61"/>
      <c r="N84" s="61"/>
      <c r="O84" s="61"/>
      <c r="P84" s="62"/>
      <c r="Q84" s="64"/>
      <c r="R84" s="62"/>
      <c r="S84" s="59"/>
      <c r="T84" s="51">
        <v>0.05</v>
      </c>
      <c r="U84" s="60"/>
      <c r="V84" s="53">
        <v>0.8</v>
      </c>
      <c r="W84" s="54">
        <f t="shared" si="6"/>
        <v>0</v>
      </c>
      <c r="X84" s="54">
        <f t="shared" si="7"/>
        <v>0</v>
      </c>
      <c r="Y84" s="54">
        <f t="shared" si="8"/>
        <v>0</v>
      </c>
      <c r="Z84" s="54">
        <f t="shared" si="9"/>
        <v>0</v>
      </c>
      <c r="AA84" s="54">
        <f t="shared" si="10"/>
        <v>0</v>
      </c>
      <c r="AB84" s="54" t="str">
        <f t="shared" si="11"/>
        <v/>
      </c>
      <c r="AC84" s="55" t="str">
        <f t="shared" ref="AC84:AD84" si="183">if(G84="yes",1,"")</f>
        <v/>
      </c>
      <c r="AD84" s="56" t="str">
        <f t="shared" si="183"/>
        <v/>
      </c>
      <c r="AE84" s="56" t="str">
        <f t="shared" si="13"/>
        <v/>
      </c>
      <c r="AF84" s="56" t="str">
        <f t="shared" si="14"/>
        <v/>
      </c>
      <c r="AG84" s="56" t="str">
        <f t="shared" si="15"/>
        <v/>
      </c>
      <c r="AH84" s="56" t="str">
        <f t="shared" si="16"/>
        <v/>
      </c>
      <c r="AI84" s="56" t="str">
        <f t="shared" si="17"/>
        <v/>
      </c>
      <c r="AJ84" s="56" t="str">
        <f t="shared" si="18"/>
        <v/>
      </c>
      <c r="AK84" s="56" t="str">
        <f t="shared" si="19"/>
        <v/>
      </c>
      <c r="AL84" s="56" t="str">
        <f t="shared" si="20"/>
        <v/>
      </c>
      <c r="AM84" s="56" t="str">
        <f t="shared" si="21"/>
        <v/>
      </c>
      <c r="AN84" s="56" t="str">
        <f t="shared" si="22"/>
        <v/>
      </c>
      <c r="AO84" s="56" t="str">
        <f t="shared" ref="AO84:AP84" si="184">if(N84="risk",-1,"")</f>
        <v/>
      </c>
      <c r="AP84" s="56" t="str">
        <f t="shared" si="184"/>
        <v/>
      </c>
      <c r="AQ84" s="56" t="str">
        <f t="shared" si="24"/>
        <v/>
      </c>
    </row>
    <row r="85">
      <c r="A85" s="82"/>
      <c r="B85" s="41">
        <f t="shared" si="3"/>
        <v>0</v>
      </c>
      <c r="C85" s="83"/>
      <c r="D85" s="43" t="str">
        <f>IFERROR(__xludf.DUMMYFUNCTION("GOOGLEFINANCE(A85,""price"")"),"#N/A")</f>
        <v>#N/A</v>
      </c>
      <c r="E85" s="43" t="str">
        <f t="shared" si="4"/>
        <v/>
      </c>
      <c r="F85" s="44" t="str">
        <f t="shared" si="5"/>
        <v/>
      </c>
      <c r="G85" s="64"/>
      <c r="H85" s="61"/>
      <c r="I85" s="61"/>
      <c r="J85" s="61"/>
      <c r="K85" s="61"/>
      <c r="L85" s="61"/>
      <c r="M85" s="61"/>
      <c r="N85" s="61"/>
      <c r="O85" s="61"/>
      <c r="P85" s="62"/>
      <c r="Q85" s="64"/>
      <c r="R85" s="62"/>
      <c r="S85" s="59"/>
      <c r="T85" s="51">
        <v>0.05</v>
      </c>
      <c r="U85" s="60"/>
      <c r="V85" s="53">
        <v>0.8</v>
      </c>
      <c r="W85" s="54">
        <f t="shared" si="6"/>
        <v>0</v>
      </c>
      <c r="X85" s="54">
        <f t="shared" si="7"/>
        <v>0</v>
      </c>
      <c r="Y85" s="54">
        <f t="shared" si="8"/>
        <v>0</v>
      </c>
      <c r="Z85" s="54">
        <f t="shared" si="9"/>
        <v>0</v>
      </c>
      <c r="AA85" s="54">
        <f t="shared" si="10"/>
        <v>0</v>
      </c>
      <c r="AB85" s="54" t="str">
        <f t="shared" si="11"/>
        <v/>
      </c>
      <c r="AC85" s="55" t="str">
        <f t="shared" ref="AC85:AD85" si="185">if(G85="yes",1,"")</f>
        <v/>
      </c>
      <c r="AD85" s="56" t="str">
        <f t="shared" si="185"/>
        <v/>
      </c>
      <c r="AE85" s="56" t="str">
        <f t="shared" si="13"/>
        <v/>
      </c>
      <c r="AF85" s="56" t="str">
        <f t="shared" si="14"/>
        <v/>
      </c>
      <c r="AG85" s="56" t="str">
        <f t="shared" si="15"/>
        <v/>
      </c>
      <c r="AH85" s="56" t="str">
        <f t="shared" si="16"/>
        <v/>
      </c>
      <c r="AI85" s="56" t="str">
        <f t="shared" si="17"/>
        <v/>
      </c>
      <c r="AJ85" s="56" t="str">
        <f t="shared" si="18"/>
        <v/>
      </c>
      <c r="AK85" s="56" t="str">
        <f t="shared" si="19"/>
        <v/>
      </c>
      <c r="AL85" s="56" t="str">
        <f t="shared" si="20"/>
        <v/>
      </c>
      <c r="AM85" s="56" t="str">
        <f t="shared" si="21"/>
        <v/>
      </c>
      <c r="AN85" s="56" t="str">
        <f t="shared" si="22"/>
        <v/>
      </c>
      <c r="AO85" s="56" t="str">
        <f t="shared" ref="AO85:AP85" si="186">if(N85="risk",-1,"")</f>
        <v/>
      </c>
      <c r="AP85" s="56" t="str">
        <f t="shared" si="186"/>
        <v/>
      </c>
      <c r="AQ85" s="56" t="str">
        <f t="shared" si="24"/>
        <v/>
      </c>
    </row>
    <row r="86">
      <c r="A86" s="82"/>
      <c r="B86" s="41">
        <f t="shared" si="3"/>
        <v>0</v>
      </c>
      <c r="C86" s="83"/>
      <c r="D86" s="43" t="str">
        <f>IFERROR(__xludf.DUMMYFUNCTION("GOOGLEFINANCE(A86,""price"")"),"#N/A")</f>
        <v>#N/A</v>
      </c>
      <c r="E86" s="43" t="str">
        <f t="shared" si="4"/>
        <v/>
      </c>
      <c r="F86" s="44" t="str">
        <f t="shared" si="5"/>
        <v/>
      </c>
      <c r="G86" s="64"/>
      <c r="H86" s="61"/>
      <c r="I86" s="61"/>
      <c r="J86" s="61"/>
      <c r="K86" s="61"/>
      <c r="L86" s="61"/>
      <c r="M86" s="61"/>
      <c r="N86" s="61"/>
      <c r="O86" s="61"/>
      <c r="P86" s="62"/>
      <c r="Q86" s="64"/>
      <c r="R86" s="62"/>
      <c r="S86" s="59"/>
      <c r="T86" s="51">
        <v>0.05</v>
      </c>
      <c r="U86" s="60"/>
      <c r="V86" s="53">
        <v>0.8</v>
      </c>
      <c r="W86" s="54">
        <f t="shared" si="6"/>
        <v>0</v>
      </c>
      <c r="X86" s="54">
        <f t="shared" si="7"/>
        <v>0</v>
      </c>
      <c r="Y86" s="54">
        <f t="shared" si="8"/>
        <v>0</v>
      </c>
      <c r="Z86" s="54">
        <f t="shared" si="9"/>
        <v>0</v>
      </c>
      <c r="AA86" s="54">
        <f t="shared" si="10"/>
        <v>0</v>
      </c>
      <c r="AB86" s="54" t="str">
        <f t="shared" si="11"/>
        <v/>
      </c>
      <c r="AC86" s="55" t="str">
        <f t="shared" ref="AC86:AD86" si="187">if(G86="yes",1,"")</f>
        <v/>
      </c>
      <c r="AD86" s="56" t="str">
        <f t="shared" si="187"/>
        <v/>
      </c>
      <c r="AE86" s="56" t="str">
        <f t="shared" si="13"/>
        <v/>
      </c>
      <c r="AF86" s="56" t="str">
        <f t="shared" si="14"/>
        <v/>
      </c>
      <c r="AG86" s="56" t="str">
        <f t="shared" si="15"/>
        <v/>
      </c>
      <c r="AH86" s="56" t="str">
        <f t="shared" si="16"/>
        <v/>
      </c>
      <c r="AI86" s="56" t="str">
        <f t="shared" si="17"/>
        <v/>
      </c>
      <c r="AJ86" s="56" t="str">
        <f t="shared" si="18"/>
        <v/>
      </c>
      <c r="AK86" s="56" t="str">
        <f t="shared" si="19"/>
        <v/>
      </c>
      <c r="AL86" s="56" t="str">
        <f t="shared" si="20"/>
        <v/>
      </c>
      <c r="AM86" s="56" t="str">
        <f t="shared" si="21"/>
        <v/>
      </c>
      <c r="AN86" s="56" t="str">
        <f t="shared" si="22"/>
        <v/>
      </c>
      <c r="AO86" s="56" t="str">
        <f t="shared" ref="AO86:AP86" si="188">if(N86="risk",-1,"")</f>
        <v/>
      </c>
      <c r="AP86" s="56" t="str">
        <f t="shared" si="188"/>
        <v/>
      </c>
      <c r="AQ86" s="56" t="str">
        <f t="shared" si="24"/>
        <v/>
      </c>
    </row>
    <row r="87">
      <c r="A87" s="82"/>
      <c r="B87" s="41">
        <f t="shared" si="3"/>
        <v>0</v>
      </c>
      <c r="C87" s="83"/>
      <c r="D87" s="43" t="str">
        <f>IFERROR(__xludf.DUMMYFUNCTION("GOOGLEFINANCE(A87,""price"")"),"#N/A")</f>
        <v>#N/A</v>
      </c>
      <c r="E87" s="43" t="str">
        <f t="shared" si="4"/>
        <v/>
      </c>
      <c r="F87" s="44" t="str">
        <f t="shared" si="5"/>
        <v/>
      </c>
      <c r="G87" s="64"/>
      <c r="H87" s="61"/>
      <c r="I87" s="61"/>
      <c r="J87" s="61"/>
      <c r="K87" s="61"/>
      <c r="L87" s="61"/>
      <c r="M87" s="61"/>
      <c r="N87" s="61"/>
      <c r="O87" s="61"/>
      <c r="P87" s="62"/>
      <c r="Q87" s="64"/>
      <c r="R87" s="62"/>
      <c r="S87" s="59"/>
      <c r="T87" s="51">
        <v>0.05</v>
      </c>
      <c r="U87" s="60"/>
      <c r="V87" s="53">
        <v>0.8</v>
      </c>
      <c r="W87" s="54">
        <f t="shared" si="6"/>
        <v>0</v>
      </c>
      <c r="X87" s="54">
        <f t="shared" si="7"/>
        <v>0</v>
      </c>
      <c r="Y87" s="54">
        <f t="shared" si="8"/>
        <v>0</v>
      </c>
      <c r="Z87" s="54">
        <f t="shared" si="9"/>
        <v>0</v>
      </c>
      <c r="AA87" s="54">
        <f t="shared" si="10"/>
        <v>0</v>
      </c>
      <c r="AB87" s="54" t="str">
        <f t="shared" si="11"/>
        <v/>
      </c>
      <c r="AC87" s="55" t="str">
        <f t="shared" ref="AC87:AD87" si="189">if(G87="yes",1,"")</f>
        <v/>
      </c>
      <c r="AD87" s="56" t="str">
        <f t="shared" si="189"/>
        <v/>
      </c>
      <c r="AE87" s="56" t="str">
        <f t="shared" si="13"/>
        <v/>
      </c>
      <c r="AF87" s="56" t="str">
        <f t="shared" si="14"/>
        <v/>
      </c>
      <c r="AG87" s="56" t="str">
        <f t="shared" si="15"/>
        <v/>
      </c>
      <c r="AH87" s="56" t="str">
        <f t="shared" si="16"/>
        <v/>
      </c>
      <c r="AI87" s="56" t="str">
        <f t="shared" si="17"/>
        <v/>
      </c>
      <c r="AJ87" s="56" t="str">
        <f t="shared" si="18"/>
        <v/>
      </c>
      <c r="AK87" s="56" t="str">
        <f t="shared" si="19"/>
        <v/>
      </c>
      <c r="AL87" s="56" t="str">
        <f t="shared" si="20"/>
        <v/>
      </c>
      <c r="AM87" s="56" t="str">
        <f t="shared" si="21"/>
        <v/>
      </c>
      <c r="AN87" s="56" t="str">
        <f t="shared" si="22"/>
        <v/>
      </c>
      <c r="AO87" s="56" t="str">
        <f t="shared" ref="AO87:AP87" si="190">if(N87="risk",-1,"")</f>
        <v/>
      </c>
      <c r="AP87" s="56" t="str">
        <f t="shared" si="190"/>
        <v/>
      </c>
      <c r="AQ87" s="56" t="str">
        <f t="shared" si="24"/>
        <v/>
      </c>
    </row>
    <row r="88">
      <c r="A88" s="82"/>
      <c r="B88" s="41">
        <f t="shared" si="3"/>
        <v>0</v>
      </c>
      <c r="C88" s="83"/>
      <c r="D88" s="43" t="str">
        <f>IFERROR(__xludf.DUMMYFUNCTION("GOOGLEFINANCE(A88,""price"")"),"#N/A")</f>
        <v>#N/A</v>
      </c>
      <c r="E88" s="43" t="str">
        <f t="shared" si="4"/>
        <v/>
      </c>
      <c r="F88" s="44" t="str">
        <f t="shared" si="5"/>
        <v/>
      </c>
      <c r="G88" s="64"/>
      <c r="H88" s="61"/>
      <c r="I88" s="61"/>
      <c r="J88" s="61"/>
      <c r="K88" s="61"/>
      <c r="L88" s="61"/>
      <c r="M88" s="61"/>
      <c r="N88" s="61"/>
      <c r="O88" s="61"/>
      <c r="P88" s="62"/>
      <c r="Q88" s="64"/>
      <c r="R88" s="62"/>
      <c r="S88" s="59"/>
      <c r="T88" s="51">
        <v>0.05</v>
      </c>
      <c r="U88" s="60"/>
      <c r="V88" s="53">
        <v>0.8</v>
      </c>
      <c r="W88" s="54">
        <f t="shared" si="6"/>
        <v>0</v>
      </c>
      <c r="X88" s="54">
        <f t="shared" si="7"/>
        <v>0</v>
      </c>
      <c r="Y88" s="54">
        <f t="shared" si="8"/>
        <v>0</v>
      </c>
      <c r="Z88" s="54">
        <f t="shared" si="9"/>
        <v>0</v>
      </c>
      <c r="AA88" s="54">
        <f t="shared" si="10"/>
        <v>0</v>
      </c>
      <c r="AB88" s="54" t="str">
        <f t="shared" si="11"/>
        <v/>
      </c>
      <c r="AC88" s="55" t="str">
        <f t="shared" ref="AC88:AD88" si="191">if(G88="yes",1,"")</f>
        <v/>
      </c>
      <c r="AD88" s="56" t="str">
        <f t="shared" si="191"/>
        <v/>
      </c>
      <c r="AE88" s="56" t="str">
        <f t="shared" si="13"/>
        <v/>
      </c>
      <c r="AF88" s="56" t="str">
        <f t="shared" si="14"/>
        <v/>
      </c>
      <c r="AG88" s="56" t="str">
        <f t="shared" si="15"/>
        <v/>
      </c>
      <c r="AH88" s="56" t="str">
        <f t="shared" si="16"/>
        <v/>
      </c>
      <c r="AI88" s="56" t="str">
        <f t="shared" si="17"/>
        <v/>
      </c>
      <c r="AJ88" s="56" t="str">
        <f t="shared" si="18"/>
        <v/>
      </c>
      <c r="AK88" s="56" t="str">
        <f t="shared" si="19"/>
        <v/>
      </c>
      <c r="AL88" s="56" t="str">
        <f t="shared" si="20"/>
        <v/>
      </c>
      <c r="AM88" s="56" t="str">
        <f t="shared" si="21"/>
        <v/>
      </c>
      <c r="AN88" s="56" t="str">
        <f t="shared" si="22"/>
        <v/>
      </c>
      <c r="AO88" s="56" t="str">
        <f t="shared" ref="AO88:AP88" si="192">if(N88="risk",-1,"")</f>
        <v/>
      </c>
      <c r="AP88" s="56" t="str">
        <f t="shared" si="192"/>
        <v/>
      </c>
      <c r="AQ88" s="56" t="str">
        <f t="shared" si="24"/>
        <v/>
      </c>
    </row>
    <row r="89">
      <c r="A89" s="82"/>
      <c r="B89" s="41">
        <f t="shared" si="3"/>
        <v>0</v>
      </c>
      <c r="C89" s="83"/>
      <c r="D89" s="43" t="str">
        <f>IFERROR(__xludf.DUMMYFUNCTION("GOOGLEFINANCE(A89,""price"")"),"#N/A")</f>
        <v>#N/A</v>
      </c>
      <c r="E89" s="43" t="str">
        <f t="shared" si="4"/>
        <v/>
      </c>
      <c r="F89" s="44" t="str">
        <f t="shared" si="5"/>
        <v/>
      </c>
      <c r="G89" s="64"/>
      <c r="H89" s="61"/>
      <c r="I89" s="61"/>
      <c r="J89" s="61"/>
      <c r="K89" s="61"/>
      <c r="L89" s="61"/>
      <c r="M89" s="61"/>
      <c r="N89" s="61"/>
      <c r="O89" s="61"/>
      <c r="P89" s="62"/>
      <c r="Q89" s="64"/>
      <c r="R89" s="62"/>
      <c r="S89" s="59"/>
      <c r="T89" s="51">
        <v>0.05</v>
      </c>
      <c r="U89" s="60"/>
      <c r="V89" s="53">
        <v>0.8</v>
      </c>
      <c r="W89" s="54">
        <f t="shared" si="6"/>
        <v>0</v>
      </c>
      <c r="X89" s="54">
        <f t="shared" si="7"/>
        <v>0</v>
      </c>
      <c r="Y89" s="54">
        <f t="shared" si="8"/>
        <v>0</v>
      </c>
      <c r="Z89" s="54">
        <f t="shared" si="9"/>
        <v>0</v>
      </c>
      <c r="AA89" s="54">
        <f t="shared" si="10"/>
        <v>0</v>
      </c>
      <c r="AB89" s="54" t="str">
        <f t="shared" si="11"/>
        <v/>
      </c>
      <c r="AC89" s="55" t="str">
        <f t="shared" ref="AC89:AD89" si="193">if(G89="yes",1,"")</f>
        <v/>
      </c>
      <c r="AD89" s="56" t="str">
        <f t="shared" si="193"/>
        <v/>
      </c>
      <c r="AE89" s="56" t="str">
        <f t="shared" si="13"/>
        <v/>
      </c>
      <c r="AF89" s="56" t="str">
        <f t="shared" si="14"/>
        <v/>
      </c>
      <c r="AG89" s="56" t="str">
        <f t="shared" si="15"/>
        <v/>
      </c>
      <c r="AH89" s="56" t="str">
        <f t="shared" si="16"/>
        <v/>
      </c>
      <c r="AI89" s="56" t="str">
        <f t="shared" si="17"/>
        <v/>
      </c>
      <c r="AJ89" s="56" t="str">
        <f t="shared" si="18"/>
        <v/>
      </c>
      <c r="AK89" s="56" t="str">
        <f t="shared" si="19"/>
        <v/>
      </c>
      <c r="AL89" s="56" t="str">
        <f t="shared" si="20"/>
        <v/>
      </c>
      <c r="AM89" s="56" t="str">
        <f t="shared" si="21"/>
        <v/>
      </c>
      <c r="AN89" s="56" t="str">
        <f t="shared" si="22"/>
        <v/>
      </c>
      <c r="AO89" s="56" t="str">
        <f t="shared" ref="AO89:AP89" si="194">if(N89="risk",-1,"")</f>
        <v/>
      </c>
      <c r="AP89" s="56" t="str">
        <f t="shared" si="194"/>
        <v/>
      </c>
      <c r="AQ89" s="56" t="str">
        <f t="shared" si="24"/>
        <v/>
      </c>
    </row>
    <row r="90">
      <c r="A90" s="82"/>
      <c r="B90" s="41">
        <f t="shared" si="3"/>
        <v>0</v>
      </c>
      <c r="C90" s="83"/>
      <c r="D90" s="43" t="str">
        <f>IFERROR(__xludf.DUMMYFUNCTION("GOOGLEFINANCE(A90,""price"")"),"#N/A")</f>
        <v>#N/A</v>
      </c>
      <c r="E90" s="43" t="str">
        <f t="shared" si="4"/>
        <v/>
      </c>
      <c r="F90" s="44" t="str">
        <f t="shared" si="5"/>
        <v/>
      </c>
      <c r="G90" s="64"/>
      <c r="H90" s="61"/>
      <c r="I90" s="61"/>
      <c r="J90" s="61"/>
      <c r="K90" s="61"/>
      <c r="L90" s="61"/>
      <c r="M90" s="61"/>
      <c r="N90" s="61"/>
      <c r="O90" s="61"/>
      <c r="P90" s="62"/>
      <c r="Q90" s="64"/>
      <c r="R90" s="62"/>
      <c r="S90" s="59"/>
      <c r="T90" s="51">
        <v>0.05</v>
      </c>
      <c r="U90" s="60"/>
      <c r="V90" s="53">
        <v>0.8</v>
      </c>
      <c r="W90" s="54">
        <f t="shared" si="6"/>
        <v>0</v>
      </c>
      <c r="X90" s="54">
        <f t="shared" si="7"/>
        <v>0</v>
      </c>
      <c r="Y90" s="54">
        <f t="shared" si="8"/>
        <v>0</v>
      </c>
      <c r="Z90" s="54">
        <f t="shared" si="9"/>
        <v>0</v>
      </c>
      <c r="AA90" s="54">
        <f t="shared" si="10"/>
        <v>0</v>
      </c>
      <c r="AB90" s="54" t="str">
        <f t="shared" si="11"/>
        <v/>
      </c>
      <c r="AC90" s="55" t="str">
        <f t="shared" ref="AC90:AD90" si="195">if(G90="yes",1,"")</f>
        <v/>
      </c>
      <c r="AD90" s="56" t="str">
        <f t="shared" si="195"/>
        <v/>
      </c>
      <c r="AE90" s="56" t="str">
        <f t="shared" si="13"/>
        <v/>
      </c>
      <c r="AF90" s="56" t="str">
        <f t="shared" si="14"/>
        <v/>
      </c>
      <c r="AG90" s="56" t="str">
        <f t="shared" si="15"/>
        <v/>
      </c>
      <c r="AH90" s="56" t="str">
        <f t="shared" si="16"/>
        <v/>
      </c>
      <c r="AI90" s="56" t="str">
        <f t="shared" si="17"/>
        <v/>
      </c>
      <c r="AJ90" s="56" t="str">
        <f t="shared" si="18"/>
        <v/>
      </c>
      <c r="AK90" s="56" t="str">
        <f t="shared" si="19"/>
        <v/>
      </c>
      <c r="AL90" s="56" t="str">
        <f t="shared" si="20"/>
        <v/>
      </c>
      <c r="AM90" s="56" t="str">
        <f t="shared" si="21"/>
        <v/>
      </c>
      <c r="AN90" s="56" t="str">
        <f t="shared" si="22"/>
        <v/>
      </c>
      <c r="AO90" s="56" t="str">
        <f t="shared" ref="AO90:AP90" si="196">if(N90="risk",-1,"")</f>
        <v/>
      </c>
      <c r="AP90" s="56" t="str">
        <f t="shared" si="196"/>
        <v/>
      </c>
      <c r="AQ90" s="56" t="str">
        <f t="shared" si="24"/>
        <v/>
      </c>
    </row>
    <row r="91">
      <c r="A91" s="82"/>
      <c r="B91" s="41">
        <f t="shared" si="3"/>
        <v>0</v>
      </c>
      <c r="C91" s="83"/>
      <c r="D91" s="43" t="str">
        <f>IFERROR(__xludf.DUMMYFUNCTION("GOOGLEFINANCE(A91,""price"")"),"#N/A")</f>
        <v>#N/A</v>
      </c>
      <c r="E91" s="43" t="str">
        <f t="shared" si="4"/>
        <v/>
      </c>
      <c r="F91" s="44" t="str">
        <f t="shared" si="5"/>
        <v/>
      </c>
      <c r="G91" s="64"/>
      <c r="H91" s="61"/>
      <c r="I91" s="61"/>
      <c r="J91" s="61"/>
      <c r="K91" s="61"/>
      <c r="L91" s="61"/>
      <c r="M91" s="61"/>
      <c r="N91" s="61"/>
      <c r="O91" s="61"/>
      <c r="P91" s="62"/>
      <c r="Q91" s="64"/>
      <c r="R91" s="62"/>
      <c r="S91" s="59"/>
      <c r="T91" s="51">
        <v>0.05</v>
      </c>
      <c r="U91" s="60"/>
      <c r="V91" s="53">
        <v>0.8</v>
      </c>
      <c r="W91" s="54">
        <f t="shared" si="6"/>
        <v>0</v>
      </c>
      <c r="X91" s="54">
        <f t="shared" si="7"/>
        <v>0</v>
      </c>
      <c r="Y91" s="54">
        <f t="shared" si="8"/>
        <v>0</v>
      </c>
      <c r="Z91" s="54">
        <f t="shared" si="9"/>
        <v>0</v>
      </c>
      <c r="AA91" s="54">
        <f t="shared" si="10"/>
        <v>0</v>
      </c>
      <c r="AB91" s="54" t="str">
        <f t="shared" si="11"/>
        <v/>
      </c>
      <c r="AC91" s="55" t="str">
        <f t="shared" ref="AC91:AD91" si="197">if(G91="yes",1,"")</f>
        <v/>
      </c>
      <c r="AD91" s="56" t="str">
        <f t="shared" si="197"/>
        <v/>
      </c>
      <c r="AE91" s="56" t="str">
        <f t="shared" si="13"/>
        <v/>
      </c>
      <c r="AF91" s="56" t="str">
        <f t="shared" si="14"/>
        <v/>
      </c>
      <c r="AG91" s="56" t="str">
        <f t="shared" si="15"/>
        <v/>
      </c>
      <c r="AH91" s="56" t="str">
        <f t="shared" si="16"/>
        <v/>
      </c>
      <c r="AI91" s="56" t="str">
        <f t="shared" si="17"/>
        <v/>
      </c>
      <c r="AJ91" s="56" t="str">
        <f t="shared" si="18"/>
        <v/>
      </c>
      <c r="AK91" s="56" t="str">
        <f t="shared" si="19"/>
        <v/>
      </c>
      <c r="AL91" s="56" t="str">
        <f t="shared" si="20"/>
        <v/>
      </c>
      <c r="AM91" s="56" t="str">
        <f t="shared" si="21"/>
        <v/>
      </c>
      <c r="AN91" s="56" t="str">
        <f t="shared" si="22"/>
        <v/>
      </c>
      <c r="AO91" s="56" t="str">
        <f t="shared" ref="AO91:AP91" si="198">if(N91="risk",-1,"")</f>
        <v/>
      </c>
      <c r="AP91" s="56" t="str">
        <f t="shared" si="198"/>
        <v/>
      </c>
      <c r="AQ91" s="56" t="str">
        <f t="shared" si="24"/>
        <v/>
      </c>
    </row>
    <row r="92">
      <c r="A92" s="82"/>
      <c r="B92" s="41">
        <f t="shared" si="3"/>
        <v>0</v>
      </c>
      <c r="C92" s="83"/>
      <c r="D92" s="43" t="str">
        <f>IFERROR(__xludf.DUMMYFUNCTION("GOOGLEFINANCE(A92,""price"")"),"#N/A")</f>
        <v>#N/A</v>
      </c>
      <c r="E92" s="43" t="str">
        <f t="shared" si="4"/>
        <v/>
      </c>
      <c r="F92" s="44" t="str">
        <f t="shared" si="5"/>
        <v/>
      </c>
      <c r="G92" s="64"/>
      <c r="H92" s="61"/>
      <c r="I92" s="61"/>
      <c r="J92" s="61"/>
      <c r="K92" s="61"/>
      <c r="L92" s="61"/>
      <c r="M92" s="61"/>
      <c r="N92" s="61"/>
      <c r="O92" s="61"/>
      <c r="P92" s="62"/>
      <c r="Q92" s="64"/>
      <c r="R92" s="62"/>
      <c r="S92" s="59"/>
      <c r="T92" s="51">
        <v>0.05</v>
      </c>
      <c r="U92" s="60"/>
      <c r="V92" s="53">
        <v>0.8</v>
      </c>
      <c r="W92" s="54">
        <f t="shared" si="6"/>
        <v>0</v>
      </c>
      <c r="X92" s="54">
        <f t="shared" si="7"/>
        <v>0</v>
      </c>
      <c r="Y92" s="54">
        <f t="shared" si="8"/>
        <v>0</v>
      </c>
      <c r="Z92" s="54">
        <f t="shared" si="9"/>
        <v>0</v>
      </c>
      <c r="AA92" s="54">
        <f t="shared" si="10"/>
        <v>0</v>
      </c>
      <c r="AB92" s="54" t="str">
        <f t="shared" si="11"/>
        <v/>
      </c>
      <c r="AC92" s="55" t="str">
        <f t="shared" ref="AC92:AD92" si="199">if(G92="yes",1,"")</f>
        <v/>
      </c>
      <c r="AD92" s="56" t="str">
        <f t="shared" si="199"/>
        <v/>
      </c>
      <c r="AE92" s="56" t="str">
        <f t="shared" si="13"/>
        <v/>
      </c>
      <c r="AF92" s="56" t="str">
        <f t="shared" si="14"/>
        <v/>
      </c>
      <c r="AG92" s="56" t="str">
        <f t="shared" si="15"/>
        <v/>
      </c>
      <c r="AH92" s="56" t="str">
        <f t="shared" si="16"/>
        <v/>
      </c>
      <c r="AI92" s="56" t="str">
        <f t="shared" si="17"/>
        <v/>
      </c>
      <c r="AJ92" s="56" t="str">
        <f t="shared" si="18"/>
        <v/>
      </c>
      <c r="AK92" s="56" t="str">
        <f t="shared" si="19"/>
        <v/>
      </c>
      <c r="AL92" s="56" t="str">
        <f t="shared" si="20"/>
        <v/>
      </c>
      <c r="AM92" s="56" t="str">
        <f t="shared" si="21"/>
        <v/>
      </c>
      <c r="AN92" s="56" t="str">
        <f t="shared" si="22"/>
        <v/>
      </c>
      <c r="AO92" s="56" t="str">
        <f t="shared" ref="AO92:AP92" si="200">if(N92="risk",-1,"")</f>
        <v/>
      </c>
      <c r="AP92" s="56" t="str">
        <f t="shared" si="200"/>
        <v/>
      </c>
      <c r="AQ92" s="56" t="str">
        <f t="shared" si="24"/>
        <v/>
      </c>
    </row>
    <row r="93">
      <c r="A93" s="82"/>
      <c r="B93" s="41">
        <f t="shared" si="3"/>
        <v>0</v>
      </c>
      <c r="C93" s="83"/>
      <c r="D93" s="43" t="str">
        <f>IFERROR(__xludf.DUMMYFUNCTION("GOOGLEFINANCE(A93,""price"")"),"#N/A")</f>
        <v>#N/A</v>
      </c>
      <c r="E93" s="43" t="str">
        <f t="shared" si="4"/>
        <v/>
      </c>
      <c r="F93" s="44" t="str">
        <f t="shared" si="5"/>
        <v/>
      </c>
      <c r="G93" s="64"/>
      <c r="H93" s="61"/>
      <c r="I93" s="61"/>
      <c r="J93" s="61"/>
      <c r="K93" s="61"/>
      <c r="L93" s="61"/>
      <c r="M93" s="61"/>
      <c r="N93" s="61"/>
      <c r="O93" s="61"/>
      <c r="P93" s="62"/>
      <c r="Q93" s="64"/>
      <c r="R93" s="62"/>
      <c r="S93" s="59"/>
      <c r="T93" s="51">
        <v>0.05</v>
      </c>
      <c r="U93" s="60"/>
      <c r="V93" s="53">
        <v>0.8</v>
      </c>
      <c r="W93" s="54">
        <f t="shared" si="6"/>
        <v>0</v>
      </c>
      <c r="X93" s="54">
        <f t="shared" si="7"/>
        <v>0</v>
      </c>
      <c r="Y93" s="54">
        <f t="shared" si="8"/>
        <v>0</v>
      </c>
      <c r="Z93" s="54">
        <f t="shared" si="9"/>
        <v>0</v>
      </c>
      <c r="AA93" s="54">
        <f t="shared" si="10"/>
        <v>0</v>
      </c>
      <c r="AB93" s="54" t="str">
        <f t="shared" si="11"/>
        <v/>
      </c>
      <c r="AC93" s="55" t="str">
        <f t="shared" ref="AC93:AD93" si="201">if(G93="yes",1,"")</f>
        <v/>
      </c>
      <c r="AD93" s="56" t="str">
        <f t="shared" si="201"/>
        <v/>
      </c>
      <c r="AE93" s="56" t="str">
        <f t="shared" si="13"/>
        <v/>
      </c>
      <c r="AF93" s="56" t="str">
        <f t="shared" si="14"/>
        <v/>
      </c>
      <c r="AG93" s="56" t="str">
        <f t="shared" si="15"/>
        <v/>
      </c>
      <c r="AH93" s="56" t="str">
        <f t="shared" si="16"/>
        <v/>
      </c>
      <c r="AI93" s="56" t="str">
        <f t="shared" si="17"/>
        <v/>
      </c>
      <c r="AJ93" s="56" t="str">
        <f t="shared" si="18"/>
        <v/>
      </c>
      <c r="AK93" s="56" t="str">
        <f t="shared" si="19"/>
        <v/>
      </c>
      <c r="AL93" s="56" t="str">
        <f t="shared" si="20"/>
        <v/>
      </c>
      <c r="AM93" s="56" t="str">
        <f t="shared" si="21"/>
        <v/>
      </c>
      <c r="AN93" s="56" t="str">
        <f t="shared" si="22"/>
        <v/>
      </c>
      <c r="AO93" s="56" t="str">
        <f t="shared" ref="AO93:AP93" si="202">if(N93="risk",-1,"")</f>
        <v/>
      </c>
      <c r="AP93" s="56" t="str">
        <f t="shared" si="202"/>
        <v/>
      </c>
      <c r="AQ93" s="56" t="str">
        <f t="shared" si="24"/>
        <v/>
      </c>
    </row>
    <row r="94">
      <c r="A94" s="82"/>
      <c r="B94" s="41">
        <f t="shared" si="3"/>
        <v>0</v>
      </c>
      <c r="C94" s="83"/>
      <c r="D94" s="43" t="str">
        <f>IFERROR(__xludf.DUMMYFUNCTION("GOOGLEFINANCE(A94,""price"")"),"#N/A")</f>
        <v>#N/A</v>
      </c>
      <c r="E94" s="43" t="str">
        <f t="shared" si="4"/>
        <v/>
      </c>
      <c r="F94" s="44" t="str">
        <f t="shared" si="5"/>
        <v/>
      </c>
      <c r="G94" s="64"/>
      <c r="H94" s="61"/>
      <c r="I94" s="61"/>
      <c r="J94" s="61"/>
      <c r="K94" s="61"/>
      <c r="L94" s="61"/>
      <c r="M94" s="61"/>
      <c r="N94" s="61"/>
      <c r="O94" s="61"/>
      <c r="P94" s="62"/>
      <c r="Q94" s="64"/>
      <c r="R94" s="62"/>
      <c r="S94" s="59"/>
      <c r="T94" s="51">
        <v>0.05</v>
      </c>
      <c r="U94" s="60"/>
      <c r="V94" s="53">
        <v>0.8</v>
      </c>
      <c r="W94" s="54">
        <f t="shared" si="6"/>
        <v>0</v>
      </c>
      <c r="X94" s="54">
        <f t="shared" si="7"/>
        <v>0</v>
      </c>
      <c r="Y94" s="54">
        <f t="shared" si="8"/>
        <v>0</v>
      </c>
      <c r="Z94" s="54">
        <f t="shared" si="9"/>
        <v>0</v>
      </c>
      <c r="AA94" s="54">
        <f t="shared" si="10"/>
        <v>0</v>
      </c>
      <c r="AB94" s="54" t="str">
        <f t="shared" si="11"/>
        <v/>
      </c>
      <c r="AC94" s="55" t="str">
        <f t="shared" ref="AC94:AD94" si="203">if(G94="yes",1,"")</f>
        <v/>
      </c>
      <c r="AD94" s="56" t="str">
        <f t="shared" si="203"/>
        <v/>
      </c>
      <c r="AE94" s="56" t="str">
        <f t="shared" si="13"/>
        <v/>
      </c>
      <c r="AF94" s="56" t="str">
        <f t="shared" si="14"/>
        <v/>
      </c>
      <c r="AG94" s="56" t="str">
        <f t="shared" si="15"/>
        <v/>
      </c>
      <c r="AH94" s="56" t="str">
        <f t="shared" si="16"/>
        <v/>
      </c>
      <c r="AI94" s="56" t="str">
        <f t="shared" si="17"/>
        <v/>
      </c>
      <c r="AJ94" s="56" t="str">
        <f t="shared" si="18"/>
        <v/>
      </c>
      <c r="AK94" s="56" t="str">
        <f t="shared" si="19"/>
        <v/>
      </c>
      <c r="AL94" s="56" t="str">
        <f t="shared" si="20"/>
        <v/>
      </c>
      <c r="AM94" s="56" t="str">
        <f t="shared" si="21"/>
        <v/>
      </c>
      <c r="AN94" s="56" t="str">
        <f t="shared" si="22"/>
        <v/>
      </c>
      <c r="AO94" s="56" t="str">
        <f t="shared" ref="AO94:AP94" si="204">if(N94="risk",-1,"")</f>
        <v/>
      </c>
      <c r="AP94" s="56" t="str">
        <f t="shared" si="204"/>
        <v/>
      </c>
      <c r="AQ94" s="56" t="str">
        <f t="shared" si="24"/>
        <v/>
      </c>
    </row>
    <row r="95">
      <c r="A95" s="82"/>
      <c r="B95" s="41">
        <f t="shared" si="3"/>
        <v>0</v>
      </c>
      <c r="C95" s="83"/>
      <c r="D95" s="43" t="str">
        <f>IFERROR(__xludf.DUMMYFUNCTION("GOOGLEFINANCE(A95,""price"")"),"#N/A")</f>
        <v>#N/A</v>
      </c>
      <c r="E95" s="43" t="str">
        <f t="shared" si="4"/>
        <v/>
      </c>
      <c r="F95" s="44" t="str">
        <f t="shared" si="5"/>
        <v/>
      </c>
      <c r="G95" s="64"/>
      <c r="H95" s="61"/>
      <c r="I95" s="61"/>
      <c r="J95" s="61"/>
      <c r="K95" s="61"/>
      <c r="L95" s="61"/>
      <c r="M95" s="61"/>
      <c r="N95" s="61"/>
      <c r="O95" s="61"/>
      <c r="P95" s="62"/>
      <c r="Q95" s="64"/>
      <c r="R95" s="62"/>
      <c r="S95" s="59"/>
      <c r="T95" s="51">
        <v>0.05</v>
      </c>
      <c r="U95" s="60"/>
      <c r="V95" s="53">
        <v>0.8</v>
      </c>
      <c r="W95" s="54">
        <f t="shared" si="6"/>
        <v>0</v>
      </c>
      <c r="X95" s="54">
        <f t="shared" si="7"/>
        <v>0</v>
      </c>
      <c r="Y95" s="54">
        <f t="shared" si="8"/>
        <v>0</v>
      </c>
      <c r="Z95" s="54">
        <f t="shared" si="9"/>
        <v>0</v>
      </c>
      <c r="AA95" s="54">
        <f t="shared" si="10"/>
        <v>0</v>
      </c>
      <c r="AB95" s="54" t="str">
        <f t="shared" si="11"/>
        <v/>
      </c>
      <c r="AC95" s="55" t="str">
        <f t="shared" ref="AC95:AD95" si="205">if(G95="yes",1,"")</f>
        <v/>
      </c>
      <c r="AD95" s="56" t="str">
        <f t="shared" si="205"/>
        <v/>
      </c>
      <c r="AE95" s="56" t="str">
        <f t="shared" si="13"/>
        <v/>
      </c>
      <c r="AF95" s="56" t="str">
        <f t="shared" si="14"/>
        <v/>
      </c>
      <c r="AG95" s="56" t="str">
        <f t="shared" si="15"/>
        <v/>
      </c>
      <c r="AH95" s="56" t="str">
        <f t="shared" si="16"/>
        <v/>
      </c>
      <c r="AI95" s="56" t="str">
        <f t="shared" si="17"/>
        <v/>
      </c>
      <c r="AJ95" s="56" t="str">
        <f t="shared" si="18"/>
        <v/>
      </c>
      <c r="AK95" s="56" t="str">
        <f t="shared" si="19"/>
        <v/>
      </c>
      <c r="AL95" s="56" t="str">
        <f t="shared" si="20"/>
        <v/>
      </c>
      <c r="AM95" s="56" t="str">
        <f t="shared" si="21"/>
        <v/>
      </c>
      <c r="AN95" s="56" t="str">
        <f t="shared" si="22"/>
        <v/>
      </c>
      <c r="AO95" s="56" t="str">
        <f t="shared" ref="AO95:AP95" si="206">if(N95="risk",-1,"")</f>
        <v/>
      </c>
      <c r="AP95" s="56" t="str">
        <f t="shared" si="206"/>
        <v/>
      </c>
      <c r="AQ95" s="56" t="str">
        <f t="shared" si="24"/>
        <v/>
      </c>
    </row>
    <row r="96">
      <c r="A96" s="82"/>
      <c r="B96" s="41">
        <f t="shared" si="3"/>
        <v>0</v>
      </c>
      <c r="C96" s="83"/>
      <c r="D96" s="43" t="str">
        <f>IFERROR(__xludf.DUMMYFUNCTION("GOOGLEFINANCE(A96,""price"")"),"#N/A")</f>
        <v>#N/A</v>
      </c>
      <c r="E96" s="43" t="str">
        <f t="shared" si="4"/>
        <v/>
      </c>
      <c r="F96" s="44" t="str">
        <f t="shared" si="5"/>
        <v/>
      </c>
      <c r="G96" s="64"/>
      <c r="H96" s="61"/>
      <c r="I96" s="61"/>
      <c r="J96" s="61"/>
      <c r="K96" s="61"/>
      <c r="L96" s="61"/>
      <c r="M96" s="61"/>
      <c r="N96" s="61"/>
      <c r="O96" s="61"/>
      <c r="P96" s="62"/>
      <c r="Q96" s="64"/>
      <c r="R96" s="62"/>
      <c r="S96" s="59"/>
      <c r="T96" s="51">
        <v>0.05</v>
      </c>
      <c r="U96" s="60"/>
      <c r="V96" s="53">
        <v>0.8</v>
      </c>
      <c r="W96" s="54">
        <f t="shared" si="6"/>
        <v>0</v>
      </c>
      <c r="X96" s="54">
        <f t="shared" si="7"/>
        <v>0</v>
      </c>
      <c r="Y96" s="54">
        <f t="shared" si="8"/>
        <v>0</v>
      </c>
      <c r="Z96" s="54">
        <f t="shared" si="9"/>
        <v>0</v>
      </c>
      <c r="AA96" s="54">
        <f t="shared" si="10"/>
        <v>0</v>
      </c>
      <c r="AB96" s="54" t="str">
        <f t="shared" si="11"/>
        <v/>
      </c>
      <c r="AC96" s="55" t="str">
        <f t="shared" ref="AC96:AD96" si="207">if(G96="yes",1,"")</f>
        <v/>
      </c>
      <c r="AD96" s="56" t="str">
        <f t="shared" si="207"/>
        <v/>
      </c>
      <c r="AE96" s="56" t="str">
        <f t="shared" si="13"/>
        <v/>
      </c>
      <c r="AF96" s="56" t="str">
        <f t="shared" si="14"/>
        <v/>
      </c>
      <c r="AG96" s="56" t="str">
        <f t="shared" si="15"/>
        <v/>
      </c>
      <c r="AH96" s="56" t="str">
        <f t="shared" si="16"/>
        <v/>
      </c>
      <c r="AI96" s="56" t="str">
        <f t="shared" si="17"/>
        <v/>
      </c>
      <c r="AJ96" s="56" t="str">
        <f t="shared" si="18"/>
        <v/>
      </c>
      <c r="AK96" s="56" t="str">
        <f t="shared" si="19"/>
        <v/>
      </c>
      <c r="AL96" s="56" t="str">
        <f t="shared" si="20"/>
        <v/>
      </c>
      <c r="AM96" s="56" t="str">
        <f t="shared" si="21"/>
        <v/>
      </c>
      <c r="AN96" s="56" t="str">
        <f t="shared" si="22"/>
        <v/>
      </c>
      <c r="AO96" s="56" t="str">
        <f t="shared" ref="AO96:AP96" si="208">if(N96="risk",-1,"")</f>
        <v/>
      </c>
      <c r="AP96" s="56" t="str">
        <f t="shared" si="208"/>
        <v/>
      </c>
      <c r="AQ96" s="56" t="str">
        <f t="shared" si="24"/>
        <v/>
      </c>
    </row>
    <row r="97">
      <c r="A97" s="82"/>
      <c r="B97" s="41">
        <f t="shared" si="3"/>
        <v>0</v>
      </c>
      <c r="C97" s="83"/>
      <c r="D97" s="43" t="str">
        <f>IFERROR(__xludf.DUMMYFUNCTION("GOOGLEFINANCE(A97,""price"")"),"#N/A")</f>
        <v>#N/A</v>
      </c>
      <c r="E97" s="43" t="str">
        <f t="shared" si="4"/>
        <v/>
      </c>
      <c r="F97" s="44" t="str">
        <f t="shared" si="5"/>
        <v/>
      </c>
      <c r="G97" s="64"/>
      <c r="H97" s="61"/>
      <c r="I97" s="61"/>
      <c r="J97" s="61"/>
      <c r="K97" s="61"/>
      <c r="L97" s="61"/>
      <c r="M97" s="61"/>
      <c r="N97" s="61"/>
      <c r="O97" s="61"/>
      <c r="P97" s="62"/>
      <c r="Q97" s="64"/>
      <c r="R97" s="62"/>
      <c r="S97" s="59"/>
      <c r="T97" s="51">
        <v>0.05</v>
      </c>
      <c r="U97" s="60"/>
      <c r="V97" s="53">
        <v>0.8</v>
      </c>
      <c r="W97" s="54">
        <f t="shared" si="6"/>
        <v>0</v>
      </c>
      <c r="X97" s="54">
        <f t="shared" si="7"/>
        <v>0</v>
      </c>
      <c r="Y97" s="54">
        <f t="shared" si="8"/>
        <v>0</v>
      </c>
      <c r="Z97" s="54">
        <f t="shared" si="9"/>
        <v>0</v>
      </c>
      <c r="AA97" s="54">
        <f t="shared" si="10"/>
        <v>0</v>
      </c>
      <c r="AB97" s="54" t="str">
        <f t="shared" si="11"/>
        <v/>
      </c>
      <c r="AC97" s="55" t="str">
        <f t="shared" ref="AC97:AD97" si="209">if(G97="yes",1,"")</f>
        <v/>
      </c>
      <c r="AD97" s="56" t="str">
        <f t="shared" si="209"/>
        <v/>
      </c>
      <c r="AE97" s="56" t="str">
        <f t="shared" si="13"/>
        <v/>
      </c>
      <c r="AF97" s="56" t="str">
        <f t="shared" si="14"/>
        <v/>
      </c>
      <c r="AG97" s="56" t="str">
        <f t="shared" si="15"/>
        <v/>
      </c>
      <c r="AH97" s="56" t="str">
        <f t="shared" si="16"/>
        <v/>
      </c>
      <c r="AI97" s="56" t="str">
        <f t="shared" si="17"/>
        <v/>
      </c>
      <c r="AJ97" s="56" t="str">
        <f t="shared" si="18"/>
        <v/>
      </c>
      <c r="AK97" s="56" t="str">
        <f t="shared" si="19"/>
        <v/>
      </c>
      <c r="AL97" s="56" t="str">
        <f t="shared" si="20"/>
        <v/>
      </c>
      <c r="AM97" s="56" t="str">
        <f t="shared" si="21"/>
        <v/>
      </c>
      <c r="AN97" s="56" t="str">
        <f t="shared" si="22"/>
        <v/>
      </c>
      <c r="AO97" s="56" t="str">
        <f t="shared" ref="AO97:AP97" si="210">if(N97="risk",-1,"")</f>
        <v/>
      </c>
      <c r="AP97" s="56" t="str">
        <f t="shared" si="210"/>
        <v/>
      </c>
      <c r="AQ97" s="56" t="str">
        <f t="shared" si="24"/>
        <v/>
      </c>
    </row>
    <row r="98">
      <c r="A98" s="82"/>
      <c r="B98" s="41">
        <f t="shared" si="3"/>
        <v>0</v>
      </c>
      <c r="C98" s="83"/>
      <c r="D98" s="43" t="str">
        <f>IFERROR(__xludf.DUMMYFUNCTION("GOOGLEFINANCE(A98,""price"")"),"#N/A")</f>
        <v>#N/A</v>
      </c>
      <c r="E98" s="43" t="str">
        <f t="shared" si="4"/>
        <v/>
      </c>
      <c r="F98" s="44" t="str">
        <f t="shared" si="5"/>
        <v/>
      </c>
      <c r="G98" s="64"/>
      <c r="H98" s="61"/>
      <c r="I98" s="61"/>
      <c r="J98" s="61"/>
      <c r="K98" s="61"/>
      <c r="L98" s="61"/>
      <c r="M98" s="61"/>
      <c r="N98" s="61"/>
      <c r="O98" s="61"/>
      <c r="P98" s="62"/>
      <c r="Q98" s="64"/>
      <c r="R98" s="62"/>
      <c r="S98" s="59"/>
      <c r="T98" s="51">
        <v>0.05</v>
      </c>
      <c r="U98" s="60"/>
      <c r="V98" s="53">
        <v>0.8</v>
      </c>
      <c r="W98" s="54">
        <f t="shared" si="6"/>
        <v>0</v>
      </c>
      <c r="X98" s="54">
        <f t="shared" si="7"/>
        <v>0</v>
      </c>
      <c r="Y98" s="54">
        <f t="shared" si="8"/>
        <v>0</v>
      </c>
      <c r="Z98" s="54">
        <f t="shared" si="9"/>
        <v>0</v>
      </c>
      <c r="AA98" s="54">
        <f t="shared" si="10"/>
        <v>0</v>
      </c>
      <c r="AB98" s="54" t="str">
        <f t="shared" si="11"/>
        <v/>
      </c>
      <c r="AC98" s="55" t="str">
        <f t="shared" ref="AC98:AD98" si="211">if(G98="yes",1,"")</f>
        <v/>
      </c>
      <c r="AD98" s="56" t="str">
        <f t="shared" si="211"/>
        <v/>
      </c>
      <c r="AE98" s="56" t="str">
        <f t="shared" si="13"/>
        <v/>
      </c>
      <c r="AF98" s="56" t="str">
        <f t="shared" si="14"/>
        <v/>
      </c>
      <c r="AG98" s="56" t="str">
        <f t="shared" si="15"/>
        <v/>
      </c>
      <c r="AH98" s="56" t="str">
        <f t="shared" si="16"/>
        <v/>
      </c>
      <c r="AI98" s="56" t="str">
        <f t="shared" si="17"/>
        <v/>
      </c>
      <c r="AJ98" s="56" t="str">
        <f t="shared" si="18"/>
        <v/>
      </c>
      <c r="AK98" s="56" t="str">
        <f t="shared" si="19"/>
        <v/>
      </c>
      <c r="AL98" s="56" t="str">
        <f t="shared" si="20"/>
        <v/>
      </c>
      <c r="AM98" s="56" t="str">
        <f t="shared" si="21"/>
        <v/>
      </c>
      <c r="AN98" s="56" t="str">
        <f t="shared" si="22"/>
        <v/>
      </c>
      <c r="AO98" s="56" t="str">
        <f t="shared" ref="AO98:AP98" si="212">if(N98="risk",-1,"")</f>
        <v/>
      </c>
      <c r="AP98" s="56" t="str">
        <f t="shared" si="212"/>
        <v/>
      </c>
      <c r="AQ98" s="56" t="str">
        <f t="shared" si="24"/>
        <v/>
      </c>
    </row>
    <row r="99">
      <c r="A99" s="82"/>
      <c r="B99" s="41">
        <f t="shared" si="3"/>
        <v>0</v>
      </c>
      <c r="C99" s="83"/>
      <c r="D99" s="43" t="str">
        <f>IFERROR(__xludf.DUMMYFUNCTION("GOOGLEFINANCE(A99,""price"")"),"#N/A")</f>
        <v>#N/A</v>
      </c>
      <c r="E99" s="43" t="str">
        <f t="shared" si="4"/>
        <v/>
      </c>
      <c r="F99" s="44" t="str">
        <f t="shared" si="5"/>
        <v/>
      </c>
      <c r="G99" s="64"/>
      <c r="H99" s="61"/>
      <c r="I99" s="61"/>
      <c r="J99" s="61"/>
      <c r="K99" s="61"/>
      <c r="L99" s="61"/>
      <c r="M99" s="61"/>
      <c r="N99" s="61"/>
      <c r="O99" s="61"/>
      <c r="P99" s="62"/>
      <c r="Q99" s="64"/>
      <c r="R99" s="62"/>
      <c r="S99" s="59"/>
      <c r="T99" s="51">
        <v>0.05</v>
      </c>
      <c r="U99" s="60"/>
      <c r="V99" s="53">
        <v>0.8</v>
      </c>
      <c r="W99" s="54">
        <f t="shared" si="6"/>
        <v>0</v>
      </c>
      <c r="X99" s="54">
        <f t="shared" si="7"/>
        <v>0</v>
      </c>
      <c r="Y99" s="54">
        <f t="shared" si="8"/>
        <v>0</v>
      </c>
      <c r="Z99" s="54">
        <f t="shared" si="9"/>
        <v>0</v>
      </c>
      <c r="AA99" s="54">
        <f t="shared" si="10"/>
        <v>0</v>
      </c>
      <c r="AB99" s="54" t="str">
        <f t="shared" si="11"/>
        <v/>
      </c>
      <c r="AC99" s="55" t="str">
        <f t="shared" ref="AC99:AD99" si="213">if(G99="yes",1,"")</f>
        <v/>
      </c>
      <c r="AD99" s="56" t="str">
        <f t="shared" si="213"/>
        <v/>
      </c>
      <c r="AE99" s="56" t="str">
        <f t="shared" si="13"/>
        <v/>
      </c>
      <c r="AF99" s="56" t="str">
        <f t="shared" si="14"/>
        <v/>
      </c>
      <c r="AG99" s="56" t="str">
        <f t="shared" si="15"/>
        <v/>
      </c>
      <c r="AH99" s="56" t="str">
        <f t="shared" si="16"/>
        <v/>
      </c>
      <c r="AI99" s="56" t="str">
        <f t="shared" si="17"/>
        <v/>
      </c>
      <c r="AJ99" s="56" t="str">
        <f t="shared" si="18"/>
        <v/>
      </c>
      <c r="AK99" s="56" t="str">
        <f t="shared" si="19"/>
        <v/>
      </c>
      <c r="AL99" s="56" t="str">
        <f t="shared" si="20"/>
        <v/>
      </c>
      <c r="AM99" s="56" t="str">
        <f t="shared" si="21"/>
        <v/>
      </c>
      <c r="AN99" s="56" t="str">
        <f t="shared" si="22"/>
        <v/>
      </c>
      <c r="AO99" s="56" t="str">
        <f t="shared" ref="AO99:AP99" si="214">if(N99="risk",-1,"")</f>
        <v/>
      </c>
      <c r="AP99" s="56" t="str">
        <f t="shared" si="214"/>
        <v/>
      </c>
      <c r="AQ99" s="56" t="str">
        <f t="shared" si="24"/>
        <v/>
      </c>
    </row>
    <row r="100">
      <c r="A100" s="82"/>
      <c r="B100" s="41">
        <f t="shared" si="3"/>
        <v>0</v>
      </c>
      <c r="C100" s="83"/>
      <c r="D100" s="43" t="str">
        <f>IFERROR(__xludf.DUMMYFUNCTION("GOOGLEFINANCE(A100,""price"")"),"#N/A")</f>
        <v>#N/A</v>
      </c>
      <c r="E100" s="43" t="str">
        <f t="shared" si="4"/>
        <v/>
      </c>
      <c r="F100" s="44" t="str">
        <f t="shared" si="5"/>
        <v/>
      </c>
      <c r="G100" s="64"/>
      <c r="H100" s="61"/>
      <c r="I100" s="61"/>
      <c r="J100" s="61"/>
      <c r="K100" s="61"/>
      <c r="L100" s="61"/>
      <c r="M100" s="61"/>
      <c r="N100" s="61"/>
      <c r="O100" s="61"/>
      <c r="P100" s="62"/>
      <c r="Q100" s="64"/>
      <c r="R100" s="62"/>
      <c r="S100" s="59"/>
      <c r="T100" s="51">
        <v>0.05</v>
      </c>
      <c r="U100" s="60"/>
      <c r="V100" s="53">
        <v>0.8</v>
      </c>
      <c r="W100" s="54">
        <f t="shared" si="6"/>
        <v>0</v>
      </c>
      <c r="X100" s="54">
        <f t="shared" si="7"/>
        <v>0</v>
      </c>
      <c r="Y100" s="54">
        <f t="shared" si="8"/>
        <v>0</v>
      </c>
      <c r="Z100" s="54">
        <f t="shared" si="9"/>
        <v>0</v>
      </c>
      <c r="AA100" s="54">
        <f t="shared" si="10"/>
        <v>0</v>
      </c>
      <c r="AB100" s="54" t="str">
        <f t="shared" si="11"/>
        <v/>
      </c>
      <c r="AC100" s="55" t="str">
        <f t="shared" ref="AC100:AD100" si="215">if(G100="yes",1,"")</f>
        <v/>
      </c>
      <c r="AD100" s="56" t="str">
        <f t="shared" si="215"/>
        <v/>
      </c>
      <c r="AE100" s="56" t="str">
        <f t="shared" si="13"/>
        <v/>
      </c>
      <c r="AF100" s="56" t="str">
        <f t="shared" si="14"/>
        <v/>
      </c>
      <c r="AG100" s="56" t="str">
        <f t="shared" si="15"/>
        <v/>
      </c>
      <c r="AH100" s="56" t="str">
        <f t="shared" si="16"/>
        <v/>
      </c>
      <c r="AI100" s="56" t="str">
        <f t="shared" si="17"/>
        <v/>
      </c>
      <c r="AJ100" s="56" t="str">
        <f t="shared" si="18"/>
        <v/>
      </c>
      <c r="AK100" s="56" t="str">
        <f t="shared" si="19"/>
        <v/>
      </c>
      <c r="AL100" s="56" t="str">
        <f t="shared" si="20"/>
        <v/>
      </c>
      <c r="AM100" s="56" t="str">
        <f t="shared" si="21"/>
        <v/>
      </c>
      <c r="AN100" s="56" t="str">
        <f t="shared" si="22"/>
        <v/>
      </c>
      <c r="AO100" s="56" t="str">
        <f t="shared" ref="AO100:AP100" si="216">if(N100="risk",-1,"")</f>
        <v/>
      </c>
      <c r="AP100" s="56" t="str">
        <f t="shared" si="216"/>
        <v/>
      </c>
      <c r="AQ100" s="56" t="str">
        <f t="shared" si="24"/>
        <v/>
      </c>
    </row>
    <row r="101">
      <c r="A101" s="84"/>
      <c r="B101" s="85">
        <f t="shared" si="3"/>
        <v>0</v>
      </c>
      <c r="C101" s="86"/>
      <c r="D101" s="43" t="str">
        <f>IFERROR(__xludf.DUMMYFUNCTION("GOOGLEFINANCE(A101,""price"")"),"#N/A")</f>
        <v>#N/A</v>
      </c>
      <c r="E101" s="87" t="str">
        <f t="shared" si="4"/>
        <v/>
      </c>
      <c r="F101" s="88" t="str">
        <f t="shared" si="5"/>
        <v/>
      </c>
      <c r="G101" s="89"/>
      <c r="H101" s="90"/>
      <c r="I101" s="90"/>
      <c r="J101" s="90"/>
      <c r="K101" s="90"/>
      <c r="L101" s="90"/>
      <c r="M101" s="90"/>
      <c r="N101" s="90"/>
      <c r="O101" s="90"/>
      <c r="P101" s="91"/>
      <c r="Q101" s="89"/>
      <c r="R101" s="91"/>
      <c r="S101" s="92"/>
      <c r="T101" s="93">
        <v>0.05</v>
      </c>
      <c r="U101" s="94"/>
      <c r="V101" s="95">
        <v>0.8</v>
      </c>
      <c r="W101" s="54">
        <f t="shared" si="6"/>
        <v>0</v>
      </c>
      <c r="X101" s="54">
        <f t="shared" si="7"/>
        <v>0</v>
      </c>
      <c r="Y101" s="54">
        <f t="shared" si="8"/>
        <v>0</v>
      </c>
      <c r="Z101" s="54">
        <f t="shared" si="9"/>
        <v>0</v>
      </c>
      <c r="AA101" s="54">
        <f t="shared" si="10"/>
        <v>0</v>
      </c>
      <c r="AB101" s="54" t="str">
        <f t="shared" si="11"/>
        <v/>
      </c>
      <c r="AC101" s="55" t="str">
        <f t="shared" ref="AC101:AD101" si="217">if(G101="yes",1,"")</f>
        <v/>
      </c>
      <c r="AD101" s="56" t="str">
        <f t="shared" si="217"/>
        <v/>
      </c>
      <c r="AE101" s="56" t="str">
        <f t="shared" si="13"/>
        <v/>
      </c>
      <c r="AF101" s="56" t="str">
        <f t="shared" si="14"/>
        <v/>
      </c>
      <c r="AG101" s="56" t="str">
        <f t="shared" si="15"/>
        <v/>
      </c>
      <c r="AH101" s="56" t="str">
        <f t="shared" si="16"/>
        <v/>
      </c>
      <c r="AI101" s="56" t="str">
        <f t="shared" si="17"/>
        <v/>
      </c>
      <c r="AJ101" s="56" t="str">
        <f t="shared" si="18"/>
        <v/>
      </c>
      <c r="AK101" s="56" t="str">
        <f t="shared" si="19"/>
        <v/>
      </c>
      <c r="AL101" s="56" t="str">
        <f t="shared" si="20"/>
        <v/>
      </c>
      <c r="AM101" s="56" t="str">
        <f t="shared" si="21"/>
        <v/>
      </c>
      <c r="AN101" s="56" t="str">
        <f t="shared" si="22"/>
        <v/>
      </c>
      <c r="AO101" s="56" t="str">
        <f t="shared" ref="AO101:AP101" si="218">if(N101="risk",-1,"")</f>
        <v/>
      </c>
      <c r="AP101" s="56" t="str">
        <f t="shared" si="218"/>
        <v/>
      </c>
      <c r="AQ101" s="56" t="str">
        <f t="shared" si="24"/>
        <v/>
      </c>
    </row>
  </sheetData>
  <mergeCells count="9">
    <mergeCell ref="S1:T1"/>
    <mergeCell ref="U1:V1"/>
    <mergeCell ref="A1:A2"/>
    <mergeCell ref="B1:B2"/>
    <mergeCell ref="C1:C2"/>
    <mergeCell ref="D1:D2"/>
    <mergeCell ref="E1:E2"/>
    <mergeCell ref="F1:F2"/>
    <mergeCell ref="Q1:R1"/>
  </mergeCells>
  <dataValidations>
    <dataValidation type="list" allowBlank="1" sqref="H3:H101">
      <formula1>Drop!$D$4:$D$5</formula1>
    </dataValidation>
    <dataValidation type="list" allowBlank="1" sqref="K3:K101">
      <formula1>Drop!$G$4:$G$8</formula1>
    </dataValidation>
    <dataValidation type="list" allowBlank="1" sqref="C3:C101">
      <formula1>Drop!$C$13:$C$15</formula1>
    </dataValidation>
    <dataValidation type="list" allowBlank="1" sqref="G3:G101">
      <formula1>Drop!$C$4:$C$5</formula1>
    </dataValidation>
    <dataValidation type="list" allowBlank="1" sqref="I3:I101">
      <formula1>Drop!$E$4:$E$5</formula1>
    </dataValidation>
    <dataValidation type="list" allowBlank="1" sqref="N3:N101">
      <formula1>Drop!$J$4:$J$5</formula1>
    </dataValidation>
    <dataValidation type="list" allowBlank="1" sqref="P3:P101">
      <formula1>Drop!$L$4:$L$5</formula1>
    </dataValidation>
    <dataValidation type="list" allowBlank="1" sqref="J3:J101">
      <formula1>Drop!$F$4:$F$6</formula1>
    </dataValidation>
    <dataValidation type="list" allowBlank="1" sqref="L3:L101">
      <formula1>Drop!$H$4:$H$6</formula1>
    </dataValidation>
    <dataValidation type="list" allowBlank="1" sqref="M3:M101">
      <formula1>Drop!$I$4:$I$5</formula1>
    </dataValidation>
    <dataValidation type="list" allowBlank="1" sqref="O3:O101">
      <formula1>Drop!$K$4:$K$5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88"/>
    <col customWidth="1" min="2" max="2" width="25.63"/>
  </cols>
  <sheetData>
    <row r="1">
      <c r="A1" s="1" t="s">
        <v>193</v>
      </c>
    </row>
    <row r="4">
      <c r="A4" s="96" t="s">
        <v>194</v>
      </c>
      <c r="B4" s="97">
        <v>33.1</v>
      </c>
    </row>
    <row r="5">
      <c r="A5" s="96" t="s">
        <v>195</v>
      </c>
      <c r="B5" s="98">
        <v>-0.1497</v>
      </c>
    </row>
    <row r="6">
      <c r="A6" s="96" t="s">
        <v>196</v>
      </c>
      <c r="B6" s="99">
        <f>B4*(1+B5)</f>
        <v>28.14493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38"/>
    <col customWidth="1" min="6" max="6" width="13.88"/>
  </cols>
  <sheetData>
    <row r="1">
      <c r="C1" s="2" t="s">
        <v>147</v>
      </c>
      <c r="D1" s="2" t="s">
        <v>27</v>
      </c>
      <c r="E1" s="2" t="s">
        <v>31</v>
      </c>
      <c r="F1" s="2" t="s">
        <v>150</v>
      </c>
      <c r="G1" s="2" t="s">
        <v>147</v>
      </c>
      <c r="H1" s="2" t="s">
        <v>45</v>
      </c>
      <c r="I1" s="2" t="s">
        <v>49</v>
      </c>
      <c r="J1" s="2" t="s">
        <v>53</v>
      </c>
      <c r="K1" s="2" t="s">
        <v>154</v>
      </c>
      <c r="L1" s="2" t="s">
        <v>197</v>
      </c>
    </row>
    <row r="2">
      <c r="C2" s="2" t="s">
        <v>198</v>
      </c>
      <c r="D2" s="2" t="s">
        <v>199</v>
      </c>
      <c r="E2" s="2" t="s">
        <v>70</v>
      </c>
      <c r="F2" s="2" t="s">
        <v>200</v>
      </c>
      <c r="G2" s="2" t="s">
        <v>39</v>
      </c>
      <c r="H2" s="2" t="s">
        <v>125</v>
      </c>
      <c r="I2" s="2" t="s">
        <v>126</v>
      </c>
      <c r="J2" s="2" t="s">
        <v>127</v>
      </c>
      <c r="K2" s="2" t="s">
        <v>128</v>
      </c>
      <c r="L2" s="2" t="s">
        <v>129</v>
      </c>
    </row>
    <row r="4">
      <c r="C4" s="2" t="s">
        <v>163</v>
      </c>
      <c r="D4" s="2" t="s">
        <v>163</v>
      </c>
      <c r="E4" s="2" t="s">
        <v>164</v>
      </c>
      <c r="F4" s="2" t="s">
        <v>165</v>
      </c>
      <c r="G4" s="2" t="s">
        <v>178</v>
      </c>
      <c r="H4" s="2" t="s">
        <v>171</v>
      </c>
      <c r="I4" s="2" t="s">
        <v>163</v>
      </c>
      <c r="J4" s="2" t="s">
        <v>168</v>
      </c>
      <c r="K4" s="2" t="s">
        <v>168</v>
      </c>
      <c r="L4" s="2" t="s">
        <v>189</v>
      </c>
    </row>
    <row r="5">
      <c r="C5" s="2" t="s">
        <v>173</v>
      </c>
      <c r="D5" s="2" t="s">
        <v>173</v>
      </c>
      <c r="E5" s="2" t="s">
        <v>173</v>
      </c>
      <c r="F5" s="2" t="s">
        <v>174</v>
      </c>
      <c r="G5" s="2" t="s">
        <v>166</v>
      </c>
      <c r="H5" s="2" t="s">
        <v>167</v>
      </c>
      <c r="I5" s="2" t="s">
        <v>173</v>
      </c>
      <c r="J5" s="2" t="s">
        <v>169</v>
      </c>
      <c r="K5" s="2" t="s">
        <v>169</v>
      </c>
      <c r="L5" s="2" t="s">
        <v>169</v>
      </c>
    </row>
    <row r="6">
      <c r="F6" s="2" t="s">
        <v>173</v>
      </c>
      <c r="G6" s="2" t="s">
        <v>180</v>
      </c>
      <c r="H6" s="2" t="s">
        <v>173</v>
      </c>
    </row>
    <row r="7">
      <c r="G7" s="2" t="s">
        <v>176</v>
      </c>
    </row>
    <row r="8">
      <c r="G8" s="2" t="s">
        <v>173</v>
      </c>
    </row>
    <row r="12">
      <c r="C12" s="2" t="s">
        <v>116</v>
      </c>
    </row>
    <row r="13">
      <c r="C13" s="2" t="s">
        <v>67</v>
      </c>
    </row>
    <row r="14">
      <c r="C14" s="2" t="s">
        <v>201</v>
      </c>
    </row>
    <row r="15">
      <c r="C15" s="2" t="s">
        <v>126</v>
      </c>
    </row>
  </sheetData>
  <drawing r:id="rId1"/>
</worksheet>
</file>